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cuments\GitHub\Proyecto_1_Innovacion_Tecnologica_IA_Grupo_4\entrega_1\docs\"/>
    </mc:Choice>
  </mc:AlternateContent>
  <xr:revisionPtr revIDLastSave="0" documentId="13_ncr:1_{C1876F21-333E-44A2-A535-807686BDFA86}" xr6:coauthVersionLast="47" xr6:coauthVersionMax="47" xr10:uidLastSave="{00000000-0000-0000-0000-000000000000}"/>
  <bookViews>
    <workbookView xWindow="-23148" yWindow="-108" windowWidth="23256" windowHeight="13896" tabRatio="500" activeTab="1" xr2:uid="{00000000-000D-0000-FFFF-FFFF00000000}"/>
  </bookViews>
  <sheets>
    <sheet name="Parámetros" sheetId="1" r:id="rId1"/>
    <sheet name="Cronograma" sheetId="2" r:id="rId2"/>
    <sheet name="Resumen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" i="3" l="1"/>
  <c r="C7" i="3"/>
  <c r="J6" i="3"/>
  <c r="H6" i="3"/>
  <c r="G6" i="3"/>
  <c r="J5" i="3"/>
  <c r="H5" i="3"/>
  <c r="G5" i="3"/>
  <c r="D5" i="3"/>
  <c r="J4" i="3"/>
  <c r="H4" i="3"/>
  <c r="G4" i="3"/>
  <c r="G7" i="3" s="1"/>
  <c r="K6" i="3"/>
  <c r="X36" i="2"/>
  <c r="W36" i="2"/>
  <c r="V36" i="2"/>
  <c r="U36" i="2"/>
  <c r="H36" i="2"/>
  <c r="T36" i="2" s="1"/>
  <c r="F36" i="2"/>
  <c r="X35" i="2"/>
  <c r="V35" i="2"/>
  <c r="U35" i="2"/>
  <c r="T35" i="2"/>
  <c r="S35" i="2"/>
  <c r="N35" i="2"/>
  <c r="I35" i="2"/>
  <c r="H35" i="2"/>
  <c r="P35" i="2" s="1"/>
  <c r="X34" i="2"/>
  <c r="V34" i="2"/>
  <c r="U34" i="2"/>
  <c r="T34" i="2"/>
  <c r="S34" i="2"/>
  <c r="O34" i="2"/>
  <c r="N34" i="2"/>
  <c r="J34" i="2"/>
  <c r="H34" i="2"/>
  <c r="I34" i="2" s="1"/>
  <c r="O33" i="2"/>
  <c r="N33" i="2"/>
  <c r="H33" i="2"/>
  <c r="J33" i="2" s="1"/>
  <c r="X32" i="2"/>
  <c r="V32" i="2"/>
  <c r="H32" i="2"/>
  <c r="W32" i="2" s="1"/>
  <c r="X31" i="2"/>
  <c r="V31" i="2"/>
  <c r="U31" i="2"/>
  <c r="T31" i="2"/>
  <c r="S31" i="2"/>
  <c r="R31" i="2"/>
  <c r="Q31" i="2"/>
  <c r="N31" i="2"/>
  <c r="I31" i="2"/>
  <c r="H31" i="2"/>
  <c r="P31" i="2" s="1"/>
  <c r="X30" i="2"/>
  <c r="V30" i="2"/>
  <c r="U30" i="2"/>
  <c r="T30" i="2"/>
  <c r="S30" i="2"/>
  <c r="O30" i="2"/>
  <c r="N30" i="2"/>
  <c r="J30" i="2"/>
  <c r="H30" i="2"/>
  <c r="I30" i="2" s="1"/>
  <c r="O29" i="2"/>
  <c r="N29" i="2"/>
  <c r="H29" i="2"/>
  <c r="J29" i="2" s="1"/>
  <c r="X28" i="2"/>
  <c r="V28" i="2"/>
  <c r="I28" i="2"/>
  <c r="H28" i="2"/>
  <c r="D6" i="3" s="1"/>
  <c r="X27" i="2"/>
  <c r="V27" i="2"/>
  <c r="U27" i="2"/>
  <c r="T27" i="2"/>
  <c r="S27" i="2"/>
  <c r="R27" i="2"/>
  <c r="Q27" i="2"/>
  <c r="N27" i="2"/>
  <c r="I27" i="2"/>
  <c r="H27" i="2"/>
  <c r="P27" i="2" s="1"/>
  <c r="X26" i="2"/>
  <c r="V26" i="2"/>
  <c r="U26" i="2"/>
  <c r="T26" i="2"/>
  <c r="S26" i="2"/>
  <c r="O26" i="2"/>
  <c r="N26" i="2"/>
  <c r="J26" i="2"/>
  <c r="H26" i="2"/>
  <c r="I26" i="2" s="1"/>
  <c r="F26" i="2"/>
  <c r="H25" i="2"/>
  <c r="N25" i="2" s="1"/>
  <c r="W24" i="2"/>
  <c r="H24" i="2"/>
  <c r="X24" i="2" s="1"/>
  <c r="X23" i="2"/>
  <c r="V23" i="2"/>
  <c r="U23" i="2"/>
  <c r="T23" i="2"/>
  <c r="S23" i="2"/>
  <c r="R23" i="2"/>
  <c r="J23" i="2"/>
  <c r="H23" i="2"/>
  <c r="Q23" i="2" s="1"/>
  <c r="W22" i="2"/>
  <c r="V22" i="2"/>
  <c r="U22" i="2"/>
  <c r="T22" i="2"/>
  <c r="O22" i="2"/>
  <c r="N22" i="2"/>
  <c r="H22" i="2"/>
  <c r="S22" i="2" s="1"/>
  <c r="H21" i="2"/>
  <c r="N21" i="2" s="1"/>
  <c r="W20" i="2"/>
  <c r="H20" i="2"/>
  <c r="X20" i="2" s="1"/>
  <c r="X19" i="2"/>
  <c r="V19" i="2"/>
  <c r="U19" i="2"/>
  <c r="T19" i="2"/>
  <c r="S19" i="2"/>
  <c r="R19" i="2"/>
  <c r="J19" i="2"/>
  <c r="H19" i="2"/>
  <c r="Q19" i="2" s="1"/>
  <c r="W18" i="2"/>
  <c r="V18" i="2"/>
  <c r="U18" i="2"/>
  <c r="T18" i="2"/>
  <c r="O18" i="2"/>
  <c r="N18" i="2"/>
  <c r="H18" i="2"/>
  <c r="S18" i="2" s="1"/>
  <c r="H17" i="2"/>
  <c r="N17" i="2" s="1"/>
  <c r="W16" i="2"/>
  <c r="H16" i="2"/>
  <c r="F16" i="2" s="1"/>
  <c r="W15" i="2"/>
  <c r="V15" i="2"/>
  <c r="U15" i="2"/>
  <c r="T15" i="2"/>
  <c r="S15" i="2"/>
  <c r="H15" i="2"/>
  <c r="X15" i="2" s="1"/>
  <c r="X14" i="2"/>
  <c r="W14" i="2"/>
  <c r="V14" i="2"/>
  <c r="U14" i="2"/>
  <c r="T14" i="2"/>
  <c r="P14" i="2"/>
  <c r="O14" i="2"/>
  <c r="N14" i="2"/>
  <c r="J14" i="2"/>
  <c r="I14" i="2"/>
  <c r="H14" i="2"/>
  <c r="M13" i="2"/>
  <c r="I13" i="2"/>
  <c r="H13" i="2"/>
  <c r="O13" i="2" s="1"/>
  <c r="X12" i="2"/>
  <c r="N12" i="2"/>
  <c r="M12" i="2"/>
  <c r="J12" i="2"/>
  <c r="I12" i="2"/>
  <c r="H12" i="2"/>
  <c r="W12" i="2" s="1"/>
  <c r="W11" i="2"/>
  <c r="V11" i="2"/>
  <c r="U11" i="2"/>
  <c r="T11" i="2"/>
  <c r="S11" i="2"/>
  <c r="M11" i="2"/>
  <c r="H11" i="2"/>
  <c r="X11" i="2" s="1"/>
  <c r="X10" i="2"/>
  <c r="W10" i="2"/>
  <c r="V10" i="2"/>
  <c r="U10" i="2"/>
  <c r="T10" i="2"/>
  <c r="Q10" i="2"/>
  <c r="P10" i="2"/>
  <c r="O10" i="2"/>
  <c r="N10" i="2"/>
  <c r="M10" i="2"/>
  <c r="J10" i="2"/>
  <c r="I10" i="2"/>
  <c r="H10" i="2"/>
  <c r="M9" i="2"/>
  <c r="I9" i="2"/>
  <c r="H9" i="2"/>
  <c r="O9" i="2" s="1"/>
  <c r="X8" i="2"/>
  <c r="N8" i="2"/>
  <c r="M8" i="2"/>
  <c r="J8" i="2"/>
  <c r="I8" i="2"/>
  <c r="H8" i="2"/>
  <c r="W8" i="2" s="1"/>
  <c r="W7" i="2"/>
  <c r="V7" i="2"/>
  <c r="U7" i="2"/>
  <c r="T7" i="2"/>
  <c r="S7" i="2"/>
  <c r="M7" i="2"/>
  <c r="H7" i="2"/>
  <c r="X7" i="2" s="1"/>
  <c r="X6" i="2"/>
  <c r="W6" i="2"/>
  <c r="V6" i="2"/>
  <c r="U6" i="2"/>
  <c r="T6" i="2"/>
  <c r="P6" i="2"/>
  <c r="O6" i="2"/>
  <c r="N6" i="2"/>
  <c r="M6" i="2"/>
  <c r="J6" i="2"/>
  <c r="I6" i="2"/>
  <c r="H6" i="2"/>
  <c r="X4" i="2"/>
  <c r="W4" i="2"/>
  <c r="W35" i="2" s="1"/>
  <c r="V4" i="2"/>
  <c r="U4" i="2"/>
  <c r="T4" i="2"/>
  <c r="S4" i="2"/>
  <c r="S14" i="2" s="1"/>
  <c r="R4" i="2"/>
  <c r="R34" i="2" s="1"/>
  <c r="Q4" i="2"/>
  <c r="Q22" i="2" s="1"/>
  <c r="P4" i="2"/>
  <c r="P34" i="2" s="1"/>
  <c r="O4" i="2"/>
  <c r="O35" i="2" s="1"/>
  <c r="N4" i="2"/>
  <c r="M3" i="2"/>
  <c r="M33" i="2" s="1"/>
  <c r="M30" i="2" l="1"/>
  <c r="M34" i="2"/>
  <c r="B7" i="1"/>
  <c r="H8" i="3"/>
  <c r="M22" i="2"/>
  <c r="M26" i="2"/>
  <c r="I6" i="3"/>
  <c r="P13" i="2"/>
  <c r="Q9" i="2"/>
  <c r="I16" i="2"/>
  <c r="I24" i="2"/>
  <c r="D4" i="3"/>
  <c r="D7" i="3" s="1"/>
  <c r="Q17" i="2"/>
  <c r="Q25" i="2"/>
  <c r="I32" i="2"/>
  <c r="P33" i="2"/>
  <c r="R17" i="2"/>
  <c r="O8" i="2"/>
  <c r="T9" i="2"/>
  <c r="O12" i="2"/>
  <c r="T13" i="2"/>
  <c r="N16" i="2"/>
  <c r="S17" i="2"/>
  <c r="X18" i="2"/>
  <c r="N20" i="2"/>
  <c r="S21" i="2"/>
  <c r="X22" i="2"/>
  <c r="N24" i="2"/>
  <c r="S25" i="2"/>
  <c r="W26" i="2"/>
  <c r="M28" i="2"/>
  <c r="R29" i="2"/>
  <c r="W30" i="2"/>
  <c r="M32" i="2"/>
  <c r="R33" i="2"/>
  <c r="W34" i="2"/>
  <c r="J36" i="2"/>
  <c r="P9" i="2"/>
  <c r="O21" i="2"/>
  <c r="P17" i="2"/>
  <c r="Q21" i="2"/>
  <c r="J24" i="2"/>
  <c r="P29" i="2"/>
  <c r="I7" i="2"/>
  <c r="P8" i="2"/>
  <c r="U9" i="2"/>
  <c r="I11" i="2"/>
  <c r="B5" i="1" s="1"/>
  <c r="B6" i="1" s="1"/>
  <c r="P12" i="2"/>
  <c r="U13" i="2"/>
  <c r="I15" i="2"/>
  <c r="M15" i="2" s="1"/>
  <c r="O16" i="2"/>
  <c r="T17" i="2"/>
  <c r="O20" i="2"/>
  <c r="T21" i="2"/>
  <c r="O24" i="2"/>
  <c r="T25" i="2"/>
  <c r="N28" i="2"/>
  <c r="S29" i="2"/>
  <c r="N32" i="2"/>
  <c r="S33" i="2"/>
  <c r="M36" i="2"/>
  <c r="J7" i="2"/>
  <c r="Q8" i="2"/>
  <c r="V9" i="2"/>
  <c r="J11" i="2"/>
  <c r="Q12" i="2"/>
  <c r="V13" i="2"/>
  <c r="J15" i="2"/>
  <c r="P16" i="2"/>
  <c r="U17" i="2"/>
  <c r="I19" i="2"/>
  <c r="P20" i="2"/>
  <c r="U21" i="2"/>
  <c r="I23" i="2"/>
  <c r="P24" i="2"/>
  <c r="U25" i="2"/>
  <c r="O28" i="2"/>
  <c r="T29" i="2"/>
  <c r="O32" i="2"/>
  <c r="T33" i="2"/>
  <c r="N36" i="2"/>
  <c r="I20" i="2"/>
  <c r="P21" i="2"/>
  <c r="P25" i="2"/>
  <c r="R13" i="2"/>
  <c r="S9" i="2"/>
  <c r="S13" i="2"/>
  <c r="M16" i="2"/>
  <c r="M20" i="2"/>
  <c r="R21" i="2"/>
  <c r="M24" i="2"/>
  <c r="R25" i="2"/>
  <c r="J28" i="2"/>
  <c r="Q29" i="2"/>
  <c r="J32" i="2"/>
  <c r="Q33" i="2"/>
  <c r="I36" i="2"/>
  <c r="R8" i="2"/>
  <c r="W9" i="2"/>
  <c r="R12" i="2"/>
  <c r="W13" i="2"/>
  <c r="Q16" i="2"/>
  <c r="V17" i="2"/>
  <c r="Q20" i="2"/>
  <c r="V21" i="2"/>
  <c r="Q24" i="2"/>
  <c r="V25" i="2"/>
  <c r="P28" i="2"/>
  <c r="U29" i="2"/>
  <c r="P32" i="2"/>
  <c r="U33" i="2"/>
  <c r="O36" i="2"/>
  <c r="N7" i="2"/>
  <c r="S8" i="2"/>
  <c r="X9" i="2"/>
  <c r="N11" i="2"/>
  <c r="S12" i="2"/>
  <c r="X13" i="2"/>
  <c r="N15" i="2"/>
  <c r="R16" i="2"/>
  <c r="W17" i="2"/>
  <c r="M19" i="2"/>
  <c r="R20" i="2"/>
  <c r="W21" i="2"/>
  <c r="M23" i="2"/>
  <c r="R24" i="2"/>
  <c r="W25" i="2"/>
  <c r="J27" i="2"/>
  <c r="Q28" i="2"/>
  <c r="V29" i="2"/>
  <c r="J31" i="2"/>
  <c r="Q32" i="2"/>
  <c r="V33" i="2"/>
  <c r="J35" i="2"/>
  <c r="P36" i="2"/>
  <c r="K4" i="3"/>
  <c r="O7" i="2"/>
  <c r="T8" i="2"/>
  <c r="O11" i="2"/>
  <c r="T12" i="2"/>
  <c r="O15" i="2"/>
  <c r="S16" i="2"/>
  <c r="X17" i="2"/>
  <c r="N19" i="2"/>
  <c r="S20" i="2"/>
  <c r="X21" i="2"/>
  <c r="N23" i="2"/>
  <c r="S24" i="2"/>
  <c r="X25" i="2"/>
  <c r="M27" i="2"/>
  <c r="R28" i="2"/>
  <c r="W29" i="2"/>
  <c r="M31" i="2"/>
  <c r="R32" i="2"/>
  <c r="W33" i="2"/>
  <c r="M35" i="2"/>
  <c r="Q36" i="2"/>
  <c r="O17" i="2"/>
  <c r="O25" i="2"/>
  <c r="Q13" i="2"/>
  <c r="R9" i="2"/>
  <c r="J16" i="2"/>
  <c r="J20" i="2"/>
  <c r="P7" i="2"/>
  <c r="U8" i="2"/>
  <c r="P11" i="2"/>
  <c r="U12" i="2"/>
  <c r="P15" i="2"/>
  <c r="T16" i="2"/>
  <c r="O19" i="2"/>
  <c r="T20" i="2"/>
  <c r="O23" i="2"/>
  <c r="T24" i="2"/>
  <c r="S28" i="2"/>
  <c r="X29" i="2"/>
  <c r="S32" i="2"/>
  <c r="X33" i="2"/>
  <c r="R36" i="2"/>
  <c r="Q7" i="2"/>
  <c r="V8" i="2"/>
  <c r="Q11" i="2"/>
  <c r="V12" i="2"/>
  <c r="Q15" i="2"/>
  <c r="U16" i="2"/>
  <c r="I18" i="2"/>
  <c r="M18" i="2" s="1"/>
  <c r="P19" i="2"/>
  <c r="U20" i="2"/>
  <c r="I22" i="2"/>
  <c r="P23" i="2"/>
  <c r="U24" i="2"/>
  <c r="O27" i="2"/>
  <c r="T28" i="2"/>
  <c r="O31" i="2"/>
  <c r="T32" i="2"/>
  <c r="S36" i="2"/>
  <c r="R7" i="2"/>
  <c r="R11" i="2"/>
  <c r="M14" i="2"/>
  <c r="R15" i="2"/>
  <c r="V16" i="2"/>
  <c r="J18" i="2"/>
  <c r="V20" i="2"/>
  <c r="J22" i="2"/>
  <c r="V24" i="2"/>
  <c r="U28" i="2"/>
  <c r="U32" i="2"/>
  <c r="Q35" i="2"/>
  <c r="X16" i="2"/>
  <c r="W28" i="2"/>
  <c r="R35" i="2"/>
  <c r="Q6" i="2"/>
  <c r="J9" i="2"/>
  <c r="J13" i="2"/>
  <c r="Q14" i="2"/>
  <c r="I17" i="2"/>
  <c r="E5" i="3" s="1"/>
  <c r="F5" i="3" s="1"/>
  <c r="I21" i="2"/>
  <c r="P22" i="2"/>
  <c r="R14" i="2"/>
  <c r="J17" i="2"/>
  <c r="Q18" i="2"/>
  <c r="J21" i="2"/>
  <c r="J25" i="2"/>
  <c r="P26" i="2"/>
  <c r="I29" i="2"/>
  <c r="P30" i="2"/>
  <c r="I33" i="2"/>
  <c r="K5" i="3"/>
  <c r="S6" i="2"/>
  <c r="N9" i="2"/>
  <c r="S10" i="2"/>
  <c r="N13" i="2"/>
  <c r="R18" i="2"/>
  <c r="W19" i="2"/>
  <c r="M21" i="2"/>
  <c r="R22" i="2"/>
  <c r="W23" i="2"/>
  <c r="M25" i="2"/>
  <c r="Q26" i="2"/>
  <c r="Q30" i="2"/>
  <c r="Q34" i="2"/>
  <c r="P18" i="2"/>
  <c r="I25" i="2"/>
  <c r="R6" i="2"/>
  <c r="R10" i="2"/>
  <c r="R26" i="2"/>
  <c r="W27" i="2"/>
  <c r="M29" i="2"/>
  <c r="R30" i="2"/>
  <c r="W31" i="2"/>
  <c r="M17" i="2" l="1"/>
  <c r="C13" i="3" s="1"/>
  <c r="C11" i="3"/>
  <c r="C14" i="3"/>
  <c r="E4" i="3"/>
  <c r="L4" i="3"/>
  <c r="L6" i="3"/>
  <c r="E6" i="3"/>
  <c r="F6" i="3" s="1"/>
  <c r="L5" i="3"/>
  <c r="I4" i="3"/>
  <c r="I5" i="3"/>
  <c r="C12" i="3" l="1"/>
  <c r="C16" i="3" s="1"/>
  <c r="E7" i="3"/>
  <c r="F7" i="3" s="1"/>
  <c r="F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Inicio del proyecto: lunes 28/09/2026. Las actividades se calculan desde esta fecha.</t>
        </r>
      </text>
    </comment>
    <comment ref="B4" authorId="0" shapeId="0" xr:uid="{00000000-0006-0000-0000-000002000000}">
      <text>
        <r>
          <rPr>
            <sz val="10"/>
            <rFont val="Arial"/>
            <family val="2"/>
          </rPr>
          <t>Por defecto es la fecha de hoy (=TODAY()). Escriba una fecha fija si quiere congelar el estado a un corte.</t>
        </r>
      </text>
    </comment>
    <comment ref="B10" authorId="0" shapeId="0" xr:uid="{00000000-0006-0000-0000-000003000000}">
      <text>
        <r>
          <rPr>
            <sz val="10"/>
            <rFont val="Arial"/>
            <family val="2"/>
          </rPr>
          <t>Fechas oficiales del curso confirmadas por el equipo el 09/10/2026.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200-000001000000}">
      <text>
        <r>
          <rPr>
            <sz val="10"/>
            <rFont val="Arial"/>
            <family val="2"/>
          </rPr>
          <t>Fuente: documento 'Porcentajes de Evaluación' del curso (20 % / 10 % / 70 %).</t>
        </r>
      </text>
    </comment>
    <comment ref="C5" authorId="0" shapeId="0" xr:uid="{00000000-0006-0000-0200-000002000000}">
      <text>
        <r>
          <rPr>
            <sz val="10"/>
            <rFont val="Arial"/>
            <family val="2"/>
          </rPr>
          <t>Fuente: documento 'Porcentajes de Evaluación' del curso (20 % / 10 % / 70 %).</t>
        </r>
      </text>
    </comment>
    <comment ref="C6" authorId="0" shapeId="0" xr:uid="{00000000-0006-0000-0200-000003000000}">
      <text>
        <r>
          <rPr>
            <sz val="10"/>
            <rFont val="Arial"/>
            <family val="2"/>
          </rPr>
          <t>Fuente: documento 'Porcentajes de Evaluación' del curso (20 % / 10 % / 70 %).</t>
        </r>
      </text>
    </comment>
  </commentList>
</comments>
</file>

<file path=xl/sharedStrings.xml><?xml version="1.0" encoding="utf-8"?>
<sst xmlns="http://schemas.openxmlformats.org/spreadsheetml/2006/main" count="224" uniqueCount="157">
  <si>
    <t>Cronograma del proyecto — Identificación de especies por su canto (Grupo 4)</t>
  </si>
  <si>
    <t>Fecha de inicio del proyecto</t>
  </si>
  <si>
    <t>Fecha de corte (seguimiento)</t>
  </si>
  <si>
    <t>Fecha de la última actividad</t>
  </si>
  <si>
    <t>Duración total del proyecto (días)</t>
  </si>
  <si>
    <t>Semana actual del proyecto</t>
  </si>
  <si>
    <t>Fechas oficiales de entrega</t>
  </si>
  <si>
    <t>Entrega 1 (20 %)</t>
  </si>
  <si>
    <t>Entrega 2 (10 %)</t>
  </si>
  <si>
    <t>Entrega 3 (70 %)</t>
  </si>
  <si>
    <t>Equipo (lista para la columna Responsable)</t>
  </si>
  <si>
    <t>Wilson Ospina Pérez</t>
  </si>
  <si>
    <t>Santiago Osorio</t>
  </si>
  <si>
    <t>Martín Pérez</t>
  </si>
  <si>
    <t>Adriana Zapata</t>
  </si>
  <si>
    <t>Todo el equipo</t>
  </si>
  <si>
    <t>Por asignar</t>
  </si>
  <si>
    <t>Cómo usar este archivo</t>
  </si>
  <si>
    <t>1. Celdas con fondo amarillo y texto azul = datos de entrada: fechas de inicio y de entrega, desfase, duración, responsable y % de avance.</t>
  </si>
  <si>
    <t>2. Las demás celdas se calculan con fórmulas: fechas, semana, estado, holgura, resumen por etapa y diagrama de Gantt.</t>
  </si>
  <si>
    <t>3. Desfase = días desde la fecha de inicio hasta que empieza la actividad. Duración = días calendario. Los hitos toman la fecha oficial de esta hoja.</t>
  </si>
  <si>
    <t>4. Estado: Completada (100 %), Pendiente (aún no inicia), En curso o Atrasada (pasó la fecha fin sin llegar al 100 %).</t>
  </si>
  <si>
    <t>5. En la hoja Resumen, la holgura debe ser de al menos 1 día: si es menor, la última actividad de la etapa termina tarde frente a la entrega.</t>
  </si>
  <si>
    <t>Plan de actividades y cronograma — Proyecto 1 · Innovación Tecnológica con IA · Grupo 4</t>
  </si>
  <si>
    <t>Fechas calculadas desde la hoja Parámetros (inicio y fechas oficiales de entrega). Celdas amarillas = datos editables.</t>
  </si>
  <si>
    <t>Fecha de corte:</t>
  </si>
  <si>
    <t>ID</t>
  </si>
  <si>
    <t>Etapa</t>
  </si>
  <si>
    <t>Actividad</t>
  </si>
  <si>
    <t>Entregable</t>
  </si>
  <si>
    <t>Responsable</t>
  </si>
  <si>
    <t>Desfase (días)</t>
  </si>
  <si>
    <t>Duración (días)</t>
  </si>
  <si>
    <t>Fecha inicio</t>
  </si>
  <si>
    <t>Fecha fin</t>
  </si>
  <si>
    <t>Semana</t>
  </si>
  <si>
    <t>Predecesora</t>
  </si>
  <si>
    <t>% avance</t>
  </si>
  <si>
    <t>Estado</t>
  </si>
  <si>
    <t>1.1</t>
  </si>
  <si>
    <t>Conformación del equipo y definición del tema</t>
  </si>
  <si>
    <t>Tema y repositorio creados</t>
  </si>
  <si>
    <t>—</t>
  </si>
  <si>
    <t>1.2</t>
  </si>
  <si>
    <t>Análisis del problema y árbol de problemas</t>
  </si>
  <si>
    <t>Secciones II y IV del reporte</t>
  </si>
  <si>
    <t>1.3</t>
  </si>
  <si>
    <t>Objetivos, alcance y pregunta de investigación</t>
  </si>
  <si>
    <t>Sección III del reporte</t>
  </si>
  <si>
    <t>1.4</t>
  </si>
  <si>
    <t>Revisión bibliográfica (estado del arte)</t>
  </si>
  <si>
    <t>Sección V.B y referencias</t>
  </si>
  <si>
    <t>1.5</t>
  </si>
  <si>
    <t>Análisis de soluciones existentes y brecha</t>
  </si>
  <si>
    <t>Secciones V.C a V.E</t>
  </si>
  <si>
    <t>1.6</t>
  </si>
  <si>
    <t>Planeación: tareas, cronograma y riesgos</t>
  </si>
  <si>
    <t>Sección VII y cronograma.xlsx</t>
  </si>
  <si>
    <t>1.7</t>
  </si>
  <si>
    <t>Estructura del repositorio y entorno de trabajo</t>
  </si>
  <si>
    <t>Carpeta entrega_1 en GitHub</t>
  </si>
  <si>
    <t>1.8</t>
  </si>
  <si>
    <t>Redacción del reporte 1</t>
  </si>
  <si>
    <t>Borrador de docs/reporte_entrega_1.md</t>
  </si>
  <si>
    <t>1.3, 1.5, 1.6</t>
  </si>
  <si>
    <t>1.9</t>
  </si>
  <si>
    <t>Revisión del reporte por el equipo y ajustes</t>
  </si>
  <si>
    <t>Comentarios incorporados</t>
  </si>
  <si>
    <t>1.10</t>
  </si>
  <si>
    <t>Versión final y publicación de la Entrega 1</t>
  </si>
  <si>
    <t>Rama main actualizada</t>
  </si>
  <si>
    <t>H1</t>
  </si>
  <si>
    <t>Entrega 1: reporte de la primera etapa (20 %)</t>
  </si>
  <si>
    <t>Hito</t>
  </si>
  <si>
    <t>2.1</t>
  </si>
  <si>
    <t>Clave de API, metadatos de la región y selección de especies</t>
  </si>
  <si>
    <t>Lista de especies objetivo</t>
  </si>
  <si>
    <t>2.2</t>
  </si>
  <si>
    <t>Descarga de grabaciones y metadatos</t>
  </si>
  <si>
    <t>data/raw y metadatos</t>
  </si>
  <si>
    <t>2.3</t>
  </si>
  <si>
    <t>Depuración y control de calidad de los datos</t>
  </si>
  <si>
    <t>Conjunto depurado</t>
  </si>
  <si>
    <t>2.4</t>
  </si>
  <si>
    <t>Análisis exploratorio de datos (EDA)</t>
  </si>
  <si>
    <t>Notebook de EDA</t>
  </si>
  <si>
    <t>2.5</t>
  </si>
  <si>
    <t>Preprocesamiento: ventanas y espectrogramas Mel</t>
  </si>
  <si>
    <t>data/processed + índice</t>
  </si>
  <si>
    <t>2.6</t>
  </si>
  <si>
    <t>Hipótesis y diseño experimental</t>
  </si>
  <si>
    <t>Sección de hipótesis</t>
  </si>
  <si>
    <t>2.7</t>
  </si>
  <si>
    <t>Modelos de referencia y CNN base</t>
  </si>
  <si>
    <t>Primeras métricas</t>
  </si>
  <si>
    <t>2.8</t>
  </si>
  <si>
    <t>Redacción del reporte 2</t>
  </si>
  <si>
    <t>Reporte de la segunda etapa</t>
  </si>
  <si>
    <t>2.6, 2.7</t>
  </si>
  <si>
    <t>2.9</t>
  </si>
  <si>
    <t>Revisión y publicación de la Entrega 2</t>
  </si>
  <si>
    <t>Carpeta entrega_2 en main</t>
  </si>
  <si>
    <t>H2</t>
  </si>
  <si>
    <t>Entrega 2: reporte de la segunda etapa (10 %)</t>
  </si>
  <si>
    <t>3.1</t>
  </si>
  <si>
    <t>Transferencia de aprendizaje con EfficientNet-B0</t>
  </si>
  <si>
    <t>Modelo entrenado</t>
  </si>
  <si>
    <t>3.2</t>
  </si>
  <si>
    <t>Embeddings bioacústicos (BirdNET o Perch 2.0) + clasificador</t>
  </si>
  <si>
    <t>3.3</t>
  </si>
  <si>
    <t>Ajuste de hiperparámetros y aumentación de datos</t>
  </si>
  <si>
    <t>Mejor configuración</t>
  </si>
  <si>
    <t>3.4</t>
  </si>
  <si>
    <t>Evaluación comparativa y análisis de errores</t>
  </si>
  <si>
    <t>Tablas y figuras de resultados</t>
  </si>
  <si>
    <t>3.2, 3.3</t>
  </si>
  <si>
    <t>3.5</t>
  </si>
  <si>
    <t>Validación con expertos</t>
  </si>
  <si>
    <t>Muestra revisada por expertos</t>
  </si>
  <si>
    <t>3.6</t>
  </si>
  <si>
    <t>Prototipo de interfaz (Streamlit o Gradio)</t>
  </si>
  <si>
    <t>Aplicación de demostración</t>
  </si>
  <si>
    <t>3.7</t>
  </si>
  <si>
    <t>Reporte final</t>
  </si>
  <si>
    <t>3.8</t>
  </si>
  <si>
    <t>Video de 10 minutos</t>
  </si>
  <si>
    <t>Video</t>
  </si>
  <si>
    <t>3.9</t>
  </si>
  <si>
    <t>Revisión final y publicación en el repositorio</t>
  </si>
  <si>
    <t>Repositorio final</t>
  </si>
  <si>
    <t>3.7, 3.8</t>
  </si>
  <si>
    <t>H3</t>
  </si>
  <si>
    <t>Entrega 3: reporte final y video (70 %)</t>
  </si>
  <si>
    <t>Leyenda del Gantt:</t>
  </si>
  <si>
    <t>Etapa 1 · Planteamiento del problema</t>
  </si>
  <si>
    <t>Etapa 2 · Datos y modelos de referencia</t>
  </si>
  <si>
    <t>Etapa 3 · Modelado, evaluación y comunicación</t>
  </si>
  <si>
    <t>◆</t>
  </si>
  <si>
    <t>Entrega oficial · columna gris = semana de la fecha de corte</t>
  </si>
  <si>
    <t>Resumen por etapa (calculado desde la hoja Cronograma)</t>
  </si>
  <si>
    <t>Nombre</t>
  </si>
  <si>
    <t>Peso en la nota</t>
  </si>
  <si>
    <t>Inicio</t>
  </si>
  <si>
    <t>Fin</t>
  </si>
  <si>
    <t>Actividades</t>
  </si>
  <si>
    <t>Avance ponderado</t>
  </si>
  <si>
    <t>Fecha de entrega</t>
  </si>
  <si>
    <t>Días para la entrega</t>
  </si>
  <si>
    <t>Holgura antes de la entrega (días)</t>
  </si>
  <si>
    <t>Total del proyecto</t>
  </si>
  <si>
    <t>Avance ponderado por peso en la nota</t>
  </si>
  <si>
    <t>Actividades por estado</t>
  </si>
  <si>
    <t>Completada</t>
  </si>
  <si>
    <t>En curso</t>
  </si>
  <si>
    <t>Pendiente</t>
  </si>
  <si>
    <t>Atrasada</t>
  </si>
  <si>
    <t>Total de filas (incluye hitos)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</si>
</sst>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"/>
    <numFmt numFmtId="166" formatCode="\S0"/>
  </numFmts>
  <fonts count="12" x14ac:knownFonts="1">
    <font>
      <sz val="11"/>
      <color theme="1"/>
      <name val="Calibri"/>
      <family val="2"/>
      <charset val="1"/>
    </font>
    <font>
      <b/>
      <sz val="14"/>
      <color rgb="FF1B4332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sz val="10"/>
      <name val="Arial"/>
      <family val="2"/>
    </font>
    <font>
      <b/>
      <sz val="13"/>
      <color rgb="FF1B4332"/>
      <name val="Arial"/>
      <charset val="1"/>
    </font>
    <font>
      <i/>
      <sz val="9"/>
      <color rgb="FF595959"/>
      <name val="Arial"/>
      <charset val="1"/>
    </font>
    <font>
      <sz val="10"/>
      <color rgb="FF008000"/>
      <name val="Arial"/>
      <charset val="1"/>
    </font>
    <font>
      <sz val="8"/>
      <color rgb="FF595959"/>
      <name val="Arial"/>
      <charset val="1"/>
    </font>
    <font>
      <b/>
      <sz val="10"/>
      <color rgb="FFFFFFFF"/>
      <name val="Arial"/>
      <charset val="1"/>
    </font>
    <font>
      <b/>
      <sz val="11"/>
      <color rgb="FFC1121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FFF9C4"/>
        <bgColor rgb="FFFFE8A3"/>
      </patternFill>
    </fill>
    <fill>
      <patternFill patternType="solid">
        <fgColor rgb="FF1B4332"/>
        <bgColor rgb="FF333300"/>
      </patternFill>
    </fill>
    <fill>
      <patternFill patternType="solid">
        <fgColor rgb="FFE9C46A"/>
        <bgColor rgb="FFF8C4C4"/>
      </patternFill>
    </fill>
    <fill>
      <patternFill patternType="solid">
        <fgColor rgb="FF2A9D8F"/>
        <bgColor rgb="FF008080"/>
      </patternFill>
    </fill>
    <fill>
      <patternFill patternType="solid">
        <fgColor rgb="FF8E7DBE"/>
        <bgColor rgb="FF9696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64" fontId="3" fillId="2" borderId="0" xfId="0" applyNumberFormat="1" applyFont="1" applyFill="1" applyAlignment="1">
      <alignment horizontal="left"/>
    </xf>
    <xf numFmtId="164" fontId="4" fillId="0" borderId="0" xfId="0" applyNumberFormat="1" applyFont="1" applyAlignment="1">
      <alignment horizontal="left"/>
    </xf>
    <xf numFmtId="1" fontId="4" fillId="0" borderId="0" xfId="0" applyNumberFormat="1" applyFont="1" applyAlignment="1">
      <alignment horizontal="left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2" fillId="0" borderId="0" xfId="0" applyFont="1" applyAlignment="1">
      <alignment horizontal="right"/>
    </xf>
    <xf numFmtId="164" fontId="8" fillId="0" borderId="0" xfId="0" applyNumberFormat="1" applyFont="1"/>
    <xf numFmtId="165" fontId="9" fillId="0" borderId="0" xfId="0" applyNumberFormat="1" applyFont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166" fontId="10" fillId="3" borderId="1" xfId="0" applyNumberFormat="1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11" fillId="0" borderId="0" xfId="0" applyFont="1"/>
    <xf numFmtId="9" fontId="3" fillId="0" borderId="1" xfId="0" applyNumberFormat="1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9" fontId="2" fillId="0" borderId="0" xfId="0" applyNumberFormat="1" applyFont="1"/>
  </cellXfs>
  <cellStyles count="1">
    <cellStyle name="Normal" xfId="0" builtinId="0"/>
  </cellStyles>
  <dxfs count="9">
    <dxf>
      <fill>
        <patternFill>
          <bgColor rgb="FFF8C4C4"/>
        </patternFill>
      </fill>
    </dxf>
    <dxf>
      <fill>
        <patternFill>
          <bgColor rgb="FFEDEDED"/>
        </patternFill>
      </fill>
    </dxf>
    <dxf>
      <fill>
        <patternFill>
          <bgColor rgb="FF8E7DBE"/>
        </patternFill>
      </fill>
    </dxf>
    <dxf>
      <fill>
        <patternFill>
          <bgColor rgb="FF2A9D8F"/>
        </patternFill>
      </fill>
    </dxf>
    <dxf>
      <fill>
        <patternFill>
          <bgColor rgb="FFE9C46A"/>
        </patternFill>
      </fill>
    </dxf>
    <dxf>
      <font>
        <b/>
        <color rgb="FFC1121F"/>
      </font>
    </dxf>
    <dxf>
      <fill>
        <patternFill>
          <bgColor rgb="FFF8C4C4"/>
        </patternFill>
      </fill>
    </dxf>
    <dxf>
      <fill>
        <patternFill>
          <bgColor rgb="FFFFE8A3"/>
        </patternFill>
      </fill>
    </dxf>
    <dxf>
      <fill>
        <patternFill>
          <bgColor rgb="FFC7E9C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E7DBE"/>
      <rgbColor rgb="FF9999FF"/>
      <rgbColor rgb="FF993366"/>
      <rgbColor rgb="FFFFF9C4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7E9C0"/>
      <rgbColor rgb="FFFFE8A3"/>
      <rgbColor rgb="FF99CCFF"/>
      <rgbColor rgb="FFFF99CC"/>
      <rgbColor rgb="FFCC99FF"/>
      <rgbColor rgb="FFF8C4C4"/>
      <rgbColor rgb="FF3366FF"/>
      <rgbColor rgb="FF33CCCC"/>
      <rgbColor rgb="FF99CC00"/>
      <rgbColor rgb="FFE9C46A"/>
      <rgbColor rgb="FFFF9900"/>
      <rgbColor rgb="FFFF6600"/>
      <rgbColor rgb="FF595959"/>
      <rgbColor rgb="FF969696"/>
      <rgbColor rgb="FF003366"/>
      <rgbColor rgb="FF2A9D8F"/>
      <rgbColor rgb="FF003300"/>
      <rgbColor rgb="FF333300"/>
      <rgbColor rgb="FFC1121F"/>
      <rgbColor rgb="FF993366"/>
      <rgbColor rgb="FF333399"/>
      <rgbColor rgb="FF1B433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zoomScaleNormal="100" workbookViewId="0">
      <selection activeCell="B5" sqref="B5"/>
    </sheetView>
  </sheetViews>
  <sheetFormatPr baseColWidth="10" defaultColWidth="8.7109375" defaultRowHeight="15" x14ac:dyDescent="0.25"/>
  <cols>
    <col min="1" max="1" width="44" customWidth="1"/>
    <col min="2" max="2" width="16" customWidth="1"/>
  </cols>
  <sheetData>
    <row r="1" spans="1:2" ht="18" x14ac:dyDescent="0.25">
      <c r="A1" s="1" t="s">
        <v>0</v>
      </c>
    </row>
    <row r="3" spans="1:2" x14ac:dyDescent="0.25">
      <c r="A3" s="2" t="s">
        <v>1</v>
      </c>
      <c r="B3" s="3">
        <v>46293</v>
      </c>
    </row>
    <row r="4" spans="1:2" x14ac:dyDescent="0.25">
      <c r="A4" s="2" t="s">
        <v>2</v>
      </c>
      <c r="B4" s="4">
        <v>46314</v>
      </c>
    </row>
    <row r="5" spans="1:2" x14ac:dyDescent="0.25">
      <c r="A5" s="2" t="s">
        <v>3</v>
      </c>
      <c r="B5" s="4">
        <f>MAX(Cronograma!$I$6:$I$36)</f>
        <v>46357</v>
      </c>
    </row>
    <row r="6" spans="1:2" x14ac:dyDescent="0.25">
      <c r="A6" s="2" t="s">
        <v>4</v>
      </c>
      <c r="B6" s="5">
        <f>B5-B3+1</f>
        <v>65</v>
      </c>
    </row>
    <row r="7" spans="1:2" x14ac:dyDescent="0.25">
      <c r="A7" s="2" t="s">
        <v>5</v>
      </c>
      <c r="B7" s="5">
        <f>IF(B4&lt;B3,0,INT((B4-B3)/7)+1)</f>
        <v>4</v>
      </c>
    </row>
    <row r="9" spans="1:2" x14ac:dyDescent="0.25">
      <c r="A9" s="2" t="s">
        <v>6</v>
      </c>
    </row>
    <row r="10" spans="1:2" x14ac:dyDescent="0.25">
      <c r="A10" s="6" t="s">
        <v>7</v>
      </c>
      <c r="B10" s="3">
        <v>46314</v>
      </c>
    </row>
    <row r="11" spans="1:2" x14ac:dyDescent="0.25">
      <c r="A11" s="6" t="s">
        <v>8</v>
      </c>
      <c r="B11" s="3">
        <v>46345</v>
      </c>
    </row>
    <row r="12" spans="1:2" x14ac:dyDescent="0.25">
      <c r="A12" s="6" t="s">
        <v>9</v>
      </c>
      <c r="B12" s="3">
        <v>46357</v>
      </c>
    </row>
    <row r="14" spans="1:2" x14ac:dyDescent="0.25">
      <c r="A14" s="2" t="s">
        <v>10</v>
      </c>
    </row>
    <row r="15" spans="1:2" x14ac:dyDescent="0.25">
      <c r="A15" s="6" t="s">
        <v>11</v>
      </c>
    </row>
    <row r="16" spans="1:2" x14ac:dyDescent="0.25">
      <c r="A16" s="6" t="s">
        <v>12</v>
      </c>
    </row>
    <row r="17" spans="1:1" x14ac:dyDescent="0.25">
      <c r="A17" s="6" t="s">
        <v>13</v>
      </c>
    </row>
    <row r="18" spans="1:1" x14ac:dyDescent="0.25">
      <c r="A18" s="6" t="s">
        <v>14</v>
      </c>
    </row>
    <row r="19" spans="1:1" x14ac:dyDescent="0.25">
      <c r="A19" s="6" t="s">
        <v>15</v>
      </c>
    </row>
    <row r="20" spans="1:1" x14ac:dyDescent="0.25">
      <c r="A20" s="6" t="s">
        <v>16</v>
      </c>
    </row>
    <row r="22" spans="1:1" x14ac:dyDescent="0.25">
      <c r="A22" s="2" t="s">
        <v>17</v>
      </c>
    </row>
    <row r="23" spans="1:1" x14ac:dyDescent="0.25">
      <c r="A23" s="6" t="s">
        <v>18</v>
      </c>
    </row>
    <row r="24" spans="1:1" x14ac:dyDescent="0.25">
      <c r="A24" s="6" t="s">
        <v>19</v>
      </c>
    </row>
    <row r="25" spans="1:1" x14ac:dyDescent="0.25">
      <c r="A25" s="6" t="s">
        <v>20</v>
      </c>
    </row>
    <row r="26" spans="1:1" x14ac:dyDescent="0.25">
      <c r="A26" s="6" t="s">
        <v>21</v>
      </c>
    </row>
    <row r="27" spans="1:1" x14ac:dyDescent="0.25">
      <c r="A27" s="6" t="s">
        <v>22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42"/>
  <sheetViews>
    <sheetView tabSelected="1" zoomScaleNormal="100" workbookViewId="0">
      <pane xSplit="3" ySplit="5" topLeftCell="D9" activePane="bottomRight" state="frozen"/>
      <selection pane="topRight" activeCell="D1" sqref="D1"/>
      <selection pane="bottomLeft" activeCell="A6" sqref="A6"/>
      <selection pane="bottomRight" activeCell="C17" sqref="C17"/>
    </sheetView>
  </sheetViews>
  <sheetFormatPr baseColWidth="10" defaultColWidth="8.7109375" defaultRowHeight="15" x14ac:dyDescent="0.25"/>
  <cols>
    <col min="1" max="1" width="6" customWidth="1"/>
    <col min="2" max="2" width="7" customWidth="1"/>
    <col min="3" max="3" width="50" customWidth="1"/>
    <col min="4" max="4" width="30" customWidth="1"/>
    <col min="5" max="5" width="20" customWidth="1"/>
    <col min="6" max="7" width="9" customWidth="1"/>
    <col min="8" max="9" width="12" customWidth="1"/>
    <col min="10" max="10" width="8" customWidth="1"/>
    <col min="11" max="11" width="13" customWidth="1"/>
    <col min="12" max="12" width="9" customWidth="1"/>
    <col min="13" max="13" width="12" customWidth="1"/>
    <col min="14" max="24" width="6.5703125" customWidth="1"/>
  </cols>
  <sheetData>
    <row r="1" spans="1:24" ht="16.5" x14ac:dyDescent="0.25">
      <c r="A1" s="7" t="s">
        <v>23</v>
      </c>
    </row>
    <row r="2" spans="1:24" x14ac:dyDescent="0.25">
      <c r="A2" s="8" t="s">
        <v>24</v>
      </c>
    </row>
    <row r="3" spans="1:24" x14ac:dyDescent="0.25">
      <c r="L3" s="9" t="s">
        <v>25</v>
      </c>
      <c r="M3" s="10">
        <f>Parámetros!$B$4</f>
        <v>46314</v>
      </c>
    </row>
    <row r="4" spans="1:24" x14ac:dyDescent="0.25">
      <c r="N4" s="11">
        <f>Parámetros!$B$3+7*(N$5-1)</f>
        <v>46293</v>
      </c>
      <c r="O4" s="11">
        <f>Parámetros!$B$3+7*(O$5-1)</f>
        <v>46300</v>
      </c>
      <c r="P4" s="11">
        <f>Parámetros!$B$3+7*(P$5-1)</f>
        <v>46307</v>
      </c>
      <c r="Q4" s="11">
        <f>Parámetros!$B$3+7*(Q$5-1)</f>
        <v>46314</v>
      </c>
      <c r="R4" s="11">
        <f>Parámetros!$B$3+7*(R$5-1)</f>
        <v>46321</v>
      </c>
      <c r="S4" s="11">
        <f>Parámetros!$B$3+7*(S$5-1)</f>
        <v>46328</v>
      </c>
      <c r="T4" s="11">
        <f>Parámetros!$B$3+7*(T$5-1)</f>
        <v>46335</v>
      </c>
      <c r="U4" s="11">
        <f>Parámetros!$B$3+7*(U$5-1)</f>
        <v>46342</v>
      </c>
      <c r="V4" s="11">
        <f>Parámetros!$B$3+7*(V$5-1)</f>
        <v>46349</v>
      </c>
      <c r="W4" s="11">
        <f>Parámetros!$B$3+7*(W$5-1)</f>
        <v>46356</v>
      </c>
      <c r="X4" s="11">
        <f>Parámetros!$B$3+7*(X$5-1)</f>
        <v>46363</v>
      </c>
    </row>
    <row r="5" spans="1:24" ht="30" customHeight="1" x14ac:dyDescent="0.25">
      <c r="A5" s="12" t="s">
        <v>26</v>
      </c>
      <c r="B5" s="12" t="s">
        <v>27</v>
      </c>
      <c r="C5" s="12" t="s">
        <v>28</v>
      </c>
      <c r="D5" s="12" t="s">
        <v>29</v>
      </c>
      <c r="E5" s="12" t="s">
        <v>30</v>
      </c>
      <c r="F5" s="12" t="s">
        <v>31</v>
      </c>
      <c r="G5" s="12" t="s">
        <v>32</v>
      </c>
      <c r="H5" s="12" t="s">
        <v>33</v>
      </c>
      <c r="I5" s="12" t="s">
        <v>34</v>
      </c>
      <c r="J5" s="12" t="s">
        <v>35</v>
      </c>
      <c r="K5" s="12" t="s">
        <v>36</v>
      </c>
      <c r="L5" s="12" t="s">
        <v>37</v>
      </c>
      <c r="M5" s="12" t="s">
        <v>38</v>
      </c>
      <c r="N5" s="13">
        <v>1</v>
      </c>
      <c r="O5" s="13">
        <v>2</v>
      </c>
      <c r="P5" s="13">
        <v>3</v>
      </c>
      <c r="Q5" s="13">
        <v>4</v>
      </c>
      <c r="R5" s="13">
        <v>5</v>
      </c>
      <c r="S5" s="13">
        <v>6</v>
      </c>
      <c r="T5" s="13">
        <v>7</v>
      </c>
      <c r="U5" s="13">
        <v>8</v>
      </c>
      <c r="V5" s="13">
        <v>9</v>
      </c>
      <c r="W5" s="13">
        <v>10</v>
      </c>
      <c r="X5" s="13">
        <v>11</v>
      </c>
    </row>
    <row r="6" spans="1:24" x14ac:dyDescent="0.25">
      <c r="A6" s="14" t="s">
        <v>39</v>
      </c>
      <c r="B6" s="15">
        <v>1</v>
      </c>
      <c r="C6" s="16" t="s">
        <v>40</v>
      </c>
      <c r="D6" s="16" t="s">
        <v>41</v>
      </c>
      <c r="E6" s="17" t="s">
        <v>15</v>
      </c>
      <c r="F6" s="17">
        <v>0</v>
      </c>
      <c r="G6" s="17">
        <v>3</v>
      </c>
      <c r="H6" s="18">
        <f>Parámetros!$B$3+F6</f>
        <v>46293</v>
      </c>
      <c r="I6" s="18">
        <f t="shared" ref="I6:I36" si="0">IF(G6=0,H6,H6+G6-1)</f>
        <v>46295</v>
      </c>
      <c r="J6" s="15">
        <f>INT((H6-Parámetros!$B$3)/7)+1</f>
        <v>1</v>
      </c>
      <c r="K6" s="16" t="s">
        <v>42</v>
      </c>
      <c r="L6" s="19">
        <v>1</v>
      </c>
      <c r="M6" s="15" t="str">
        <f t="shared" ref="M6:M36" si="1">IF(L6&gt;=1,"Completada",IF($M$3&lt;H6,"Pendiente",IF($M$3&gt;I6,"Atrasada","En curso")))</f>
        <v>Completada</v>
      </c>
      <c r="N6" s="20" t="str">
        <f t="shared" ref="N6:X15" si="2">IF(AND($G6=0,$H6&gt;=N$4,$H6&lt;=N$4+6),"◆","")</f>
        <v/>
      </c>
      <c r="O6" s="20" t="str">
        <f t="shared" si="2"/>
        <v/>
      </c>
      <c r="P6" s="20" t="str">
        <f t="shared" si="2"/>
        <v/>
      </c>
      <c r="Q6" s="20" t="str">
        <f t="shared" si="2"/>
        <v/>
      </c>
      <c r="R6" s="20" t="str">
        <f t="shared" si="2"/>
        <v/>
      </c>
      <c r="S6" s="20" t="str">
        <f t="shared" si="2"/>
        <v/>
      </c>
      <c r="T6" s="20" t="str">
        <f t="shared" si="2"/>
        <v/>
      </c>
      <c r="U6" s="20" t="str">
        <f t="shared" si="2"/>
        <v/>
      </c>
      <c r="V6" s="20" t="str">
        <f t="shared" si="2"/>
        <v/>
      </c>
      <c r="W6" s="20" t="str">
        <f t="shared" si="2"/>
        <v/>
      </c>
      <c r="X6" s="20" t="str">
        <f t="shared" si="2"/>
        <v/>
      </c>
    </row>
    <row r="7" spans="1:24" x14ac:dyDescent="0.25">
      <c r="A7" s="14" t="s">
        <v>43</v>
      </c>
      <c r="B7" s="15">
        <v>1</v>
      </c>
      <c r="C7" s="16" t="s">
        <v>44</v>
      </c>
      <c r="D7" s="16" t="s">
        <v>45</v>
      </c>
      <c r="E7" s="17" t="s">
        <v>15</v>
      </c>
      <c r="F7" s="17">
        <v>2</v>
      </c>
      <c r="G7" s="17">
        <v>6</v>
      </c>
      <c r="H7" s="18">
        <f>Parámetros!$B$3+F7</f>
        <v>46295</v>
      </c>
      <c r="I7" s="18">
        <f t="shared" si="0"/>
        <v>46300</v>
      </c>
      <c r="J7" s="15">
        <f>INT((H7-Parámetros!$B$3)/7)+1</f>
        <v>1</v>
      </c>
      <c r="K7" s="16" t="s">
        <v>39</v>
      </c>
      <c r="L7" s="19">
        <v>1</v>
      </c>
      <c r="M7" s="15" t="str">
        <f t="shared" si="1"/>
        <v>Completada</v>
      </c>
      <c r="N7" s="20" t="str">
        <f t="shared" si="2"/>
        <v/>
      </c>
      <c r="O7" s="20" t="str">
        <f t="shared" si="2"/>
        <v/>
      </c>
      <c r="P7" s="20" t="str">
        <f t="shared" si="2"/>
        <v/>
      </c>
      <c r="Q7" s="20" t="str">
        <f t="shared" si="2"/>
        <v/>
      </c>
      <c r="R7" s="20" t="str">
        <f t="shared" si="2"/>
        <v/>
      </c>
      <c r="S7" s="20" t="str">
        <f t="shared" si="2"/>
        <v/>
      </c>
      <c r="T7" s="20" t="str">
        <f t="shared" si="2"/>
        <v/>
      </c>
      <c r="U7" s="20" t="str">
        <f t="shared" si="2"/>
        <v/>
      </c>
      <c r="V7" s="20" t="str">
        <f t="shared" si="2"/>
        <v/>
      </c>
      <c r="W7" s="20" t="str">
        <f t="shared" si="2"/>
        <v/>
      </c>
      <c r="X7" s="20" t="str">
        <f t="shared" si="2"/>
        <v/>
      </c>
    </row>
    <row r="8" spans="1:24" x14ac:dyDescent="0.25">
      <c r="A8" s="14" t="s">
        <v>46</v>
      </c>
      <c r="B8" s="15">
        <v>1</v>
      </c>
      <c r="C8" s="16" t="s">
        <v>47</v>
      </c>
      <c r="D8" s="16" t="s">
        <v>48</v>
      </c>
      <c r="E8" s="17" t="s">
        <v>15</v>
      </c>
      <c r="F8" s="17">
        <v>5</v>
      </c>
      <c r="G8" s="17">
        <v>4</v>
      </c>
      <c r="H8" s="18">
        <f>Parámetros!$B$3+F8</f>
        <v>46298</v>
      </c>
      <c r="I8" s="18">
        <f t="shared" si="0"/>
        <v>46301</v>
      </c>
      <c r="J8" s="15">
        <f>INT((H8-Parámetros!$B$3)/7)+1</f>
        <v>1</v>
      </c>
      <c r="K8" s="16" t="s">
        <v>43</v>
      </c>
      <c r="L8" s="19">
        <v>1</v>
      </c>
      <c r="M8" s="15" t="str">
        <f t="shared" si="1"/>
        <v>Completada</v>
      </c>
      <c r="N8" s="20" t="str">
        <f t="shared" si="2"/>
        <v/>
      </c>
      <c r="O8" s="20" t="str">
        <f t="shared" si="2"/>
        <v/>
      </c>
      <c r="P8" s="20" t="str">
        <f t="shared" si="2"/>
        <v/>
      </c>
      <c r="Q8" s="20" t="str">
        <f t="shared" si="2"/>
        <v/>
      </c>
      <c r="R8" s="20" t="str">
        <f t="shared" si="2"/>
        <v/>
      </c>
      <c r="S8" s="20" t="str">
        <f t="shared" si="2"/>
        <v/>
      </c>
      <c r="T8" s="20" t="str">
        <f t="shared" si="2"/>
        <v/>
      </c>
      <c r="U8" s="20" t="str">
        <f t="shared" si="2"/>
        <v/>
      </c>
      <c r="V8" s="20" t="str">
        <f t="shared" si="2"/>
        <v/>
      </c>
      <c r="W8" s="20" t="str">
        <f t="shared" si="2"/>
        <v/>
      </c>
      <c r="X8" s="20" t="str">
        <f t="shared" si="2"/>
        <v/>
      </c>
    </row>
    <row r="9" spans="1:24" x14ac:dyDescent="0.25">
      <c r="A9" s="14" t="s">
        <v>49</v>
      </c>
      <c r="B9" s="15">
        <v>1</v>
      </c>
      <c r="C9" s="16" t="s">
        <v>50</v>
      </c>
      <c r="D9" s="16" t="s">
        <v>51</v>
      </c>
      <c r="E9" s="17" t="s">
        <v>15</v>
      </c>
      <c r="F9" s="17">
        <v>2</v>
      </c>
      <c r="G9" s="17">
        <v>9</v>
      </c>
      <c r="H9" s="18">
        <f>Parámetros!$B$3+F9</f>
        <v>46295</v>
      </c>
      <c r="I9" s="18">
        <f t="shared" si="0"/>
        <v>46303</v>
      </c>
      <c r="J9" s="15">
        <f>INT((H9-Parámetros!$B$3)/7)+1</f>
        <v>1</v>
      </c>
      <c r="K9" s="16" t="s">
        <v>39</v>
      </c>
      <c r="L9" s="19">
        <v>1</v>
      </c>
      <c r="M9" s="15" t="str">
        <f t="shared" si="1"/>
        <v>Completada</v>
      </c>
      <c r="N9" s="20" t="str">
        <f t="shared" si="2"/>
        <v/>
      </c>
      <c r="O9" s="20" t="str">
        <f t="shared" si="2"/>
        <v/>
      </c>
      <c r="P9" s="20" t="str">
        <f t="shared" si="2"/>
        <v/>
      </c>
      <c r="Q9" s="20" t="str">
        <f t="shared" si="2"/>
        <v/>
      </c>
      <c r="R9" s="20" t="str">
        <f t="shared" si="2"/>
        <v/>
      </c>
      <c r="S9" s="20" t="str">
        <f t="shared" si="2"/>
        <v/>
      </c>
      <c r="T9" s="20" t="str">
        <f t="shared" si="2"/>
        <v/>
      </c>
      <c r="U9" s="20" t="str">
        <f t="shared" si="2"/>
        <v/>
      </c>
      <c r="V9" s="20" t="str">
        <f t="shared" si="2"/>
        <v/>
      </c>
      <c r="W9" s="20" t="str">
        <f t="shared" si="2"/>
        <v/>
      </c>
      <c r="X9" s="20" t="str">
        <f t="shared" si="2"/>
        <v/>
      </c>
    </row>
    <row r="10" spans="1:24" x14ac:dyDescent="0.25">
      <c r="A10" s="14" t="s">
        <v>52</v>
      </c>
      <c r="B10" s="15">
        <v>1</v>
      </c>
      <c r="C10" s="16" t="s">
        <v>53</v>
      </c>
      <c r="D10" s="16" t="s">
        <v>54</v>
      </c>
      <c r="E10" s="17" t="s">
        <v>15</v>
      </c>
      <c r="F10" s="17">
        <v>7</v>
      </c>
      <c r="G10" s="17">
        <v>4</v>
      </c>
      <c r="H10" s="18">
        <f>Parámetros!$B$3+F10</f>
        <v>46300</v>
      </c>
      <c r="I10" s="18">
        <f t="shared" si="0"/>
        <v>46303</v>
      </c>
      <c r="J10" s="15">
        <f>INT((H10-Parámetros!$B$3)/7)+1</f>
        <v>2</v>
      </c>
      <c r="K10" s="16" t="s">
        <v>49</v>
      </c>
      <c r="L10" s="19">
        <v>1</v>
      </c>
      <c r="M10" s="15" t="str">
        <f t="shared" si="1"/>
        <v>Completada</v>
      </c>
      <c r="N10" s="20" t="str">
        <f t="shared" si="2"/>
        <v/>
      </c>
      <c r="O10" s="20" t="str">
        <f t="shared" si="2"/>
        <v/>
      </c>
      <c r="P10" s="20" t="str">
        <f t="shared" si="2"/>
        <v/>
      </c>
      <c r="Q10" s="20" t="str">
        <f t="shared" si="2"/>
        <v/>
      </c>
      <c r="R10" s="20" t="str">
        <f t="shared" si="2"/>
        <v/>
      </c>
      <c r="S10" s="20" t="str">
        <f t="shared" si="2"/>
        <v/>
      </c>
      <c r="T10" s="20" t="str">
        <f t="shared" si="2"/>
        <v/>
      </c>
      <c r="U10" s="20" t="str">
        <f t="shared" si="2"/>
        <v/>
      </c>
      <c r="V10" s="20" t="str">
        <f t="shared" si="2"/>
        <v/>
      </c>
      <c r="W10" s="20" t="str">
        <f t="shared" si="2"/>
        <v/>
      </c>
      <c r="X10" s="20" t="str">
        <f t="shared" si="2"/>
        <v/>
      </c>
    </row>
    <row r="11" spans="1:24" x14ac:dyDescent="0.25">
      <c r="A11" s="14" t="s">
        <v>55</v>
      </c>
      <c r="B11" s="15">
        <v>1</v>
      </c>
      <c r="C11" s="16" t="s">
        <v>56</v>
      </c>
      <c r="D11" s="16" t="s">
        <v>57</v>
      </c>
      <c r="E11" s="17" t="s">
        <v>15</v>
      </c>
      <c r="F11" s="17">
        <v>8</v>
      </c>
      <c r="G11" s="17">
        <v>3</v>
      </c>
      <c r="H11" s="18">
        <f>Parámetros!$B$3+F11</f>
        <v>46301</v>
      </c>
      <c r="I11" s="18">
        <f t="shared" si="0"/>
        <v>46303</v>
      </c>
      <c r="J11" s="15">
        <f>INT((H11-Parámetros!$B$3)/7)+1</f>
        <v>2</v>
      </c>
      <c r="K11" s="16" t="s">
        <v>46</v>
      </c>
      <c r="L11" s="19">
        <v>1</v>
      </c>
      <c r="M11" s="15" t="str">
        <f t="shared" si="1"/>
        <v>Completada</v>
      </c>
      <c r="N11" s="20" t="str">
        <f t="shared" si="2"/>
        <v/>
      </c>
      <c r="O11" s="20" t="str">
        <f t="shared" si="2"/>
        <v/>
      </c>
      <c r="P11" s="20" t="str">
        <f t="shared" si="2"/>
        <v/>
      </c>
      <c r="Q11" s="20" t="str">
        <f t="shared" si="2"/>
        <v/>
      </c>
      <c r="R11" s="20" t="str">
        <f t="shared" si="2"/>
        <v/>
      </c>
      <c r="S11" s="20" t="str">
        <f t="shared" si="2"/>
        <v/>
      </c>
      <c r="T11" s="20" t="str">
        <f t="shared" si="2"/>
        <v/>
      </c>
      <c r="U11" s="20" t="str">
        <f t="shared" si="2"/>
        <v/>
      </c>
      <c r="V11" s="20" t="str">
        <f t="shared" si="2"/>
        <v/>
      </c>
      <c r="W11" s="20" t="str">
        <f t="shared" si="2"/>
        <v/>
      </c>
      <c r="X11" s="20" t="str">
        <f t="shared" si="2"/>
        <v/>
      </c>
    </row>
    <row r="12" spans="1:24" x14ac:dyDescent="0.25">
      <c r="A12" s="14" t="s">
        <v>58</v>
      </c>
      <c r="B12" s="15">
        <v>1</v>
      </c>
      <c r="C12" s="16" t="s">
        <v>59</v>
      </c>
      <c r="D12" s="16" t="s">
        <v>60</v>
      </c>
      <c r="E12" s="17" t="s">
        <v>15</v>
      </c>
      <c r="F12" s="17">
        <v>9</v>
      </c>
      <c r="G12" s="17">
        <v>3</v>
      </c>
      <c r="H12" s="18">
        <f>Parámetros!$B$3+F12</f>
        <v>46302</v>
      </c>
      <c r="I12" s="18">
        <f t="shared" si="0"/>
        <v>46304</v>
      </c>
      <c r="J12" s="15">
        <f>INT((H12-Parámetros!$B$3)/7)+1</f>
        <v>2</v>
      </c>
      <c r="K12" s="16" t="s">
        <v>39</v>
      </c>
      <c r="L12" s="19">
        <v>1</v>
      </c>
      <c r="M12" s="15" t="str">
        <f t="shared" si="1"/>
        <v>Completada</v>
      </c>
      <c r="N12" s="20" t="str">
        <f t="shared" si="2"/>
        <v/>
      </c>
      <c r="O12" s="20" t="str">
        <f t="shared" si="2"/>
        <v/>
      </c>
      <c r="P12" s="20" t="str">
        <f t="shared" si="2"/>
        <v/>
      </c>
      <c r="Q12" s="20" t="str">
        <f t="shared" si="2"/>
        <v/>
      </c>
      <c r="R12" s="20" t="str">
        <f t="shared" si="2"/>
        <v/>
      </c>
      <c r="S12" s="20" t="str">
        <f t="shared" si="2"/>
        <v/>
      </c>
      <c r="T12" s="20" t="str">
        <f t="shared" si="2"/>
        <v/>
      </c>
      <c r="U12" s="20" t="str">
        <f t="shared" si="2"/>
        <v/>
      </c>
      <c r="V12" s="20" t="str">
        <f t="shared" si="2"/>
        <v/>
      </c>
      <c r="W12" s="20" t="str">
        <f t="shared" si="2"/>
        <v/>
      </c>
      <c r="X12" s="20" t="str">
        <f t="shared" si="2"/>
        <v/>
      </c>
    </row>
    <row r="13" spans="1:24" ht="25.5" x14ac:dyDescent="0.25">
      <c r="A13" s="14" t="s">
        <v>61</v>
      </c>
      <c r="B13" s="15">
        <v>1</v>
      </c>
      <c r="C13" s="16" t="s">
        <v>62</v>
      </c>
      <c r="D13" s="16" t="s">
        <v>63</v>
      </c>
      <c r="E13" s="17" t="s">
        <v>15</v>
      </c>
      <c r="F13" s="17">
        <v>10</v>
      </c>
      <c r="G13" s="17">
        <v>2</v>
      </c>
      <c r="H13" s="18">
        <f>Parámetros!$B$3+F13</f>
        <v>46303</v>
      </c>
      <c r="I13" s="18">
        <f t="shared" si="0"/>
        <v>46304</v>
      </c>
      <c r="J13" s="15">
        <f>INT((H13-Parámetros!$B$3)/7)+1</f>
        <v>2</v>
      </c>
      <c r="K13" s="16" t="s">
        <v>64</v>
      </c>
      <c r="L13" s="19">
        <v>1</v>
      </c>
      <c r="M13" s="15" t="str">
        <f t="shared" si="1"/>
        <v>Completada</v>
      </c>
      <c r="N13" s="20" t="str">
        <f t="shared" si="2"/>
        <v/>
      </c>
      <c r="O13" s="20" t="str">
        <f t="shared" si="2"/>
        <v/>
      </c>
      <c r="P13" s="20" t="str">
        <f t="shared" si="2"/>
        <v/>
      </c>
      <c r="Q13" s="20" t="str">
        <f t="shared" si="2"/>
        <v/>
      </c>
      <c r="R13" s="20" t="str">
        <f t="shared" si="2"/>
        <v/>
      </c>
      <c r="S13" s="20" t="str">
        <f t="shared" si="2"/>
        <v/>
      </c>
      <c r="T13" s="20" t="str">
        <f t="shared" si="2"/>
        <v/>
      </c>
      <c r="U13" s="20" t="str">
        <f t="shared" si="2"/>
        <v/>
      </c>
      <c r="V13" s="20" t="str">
        <f t="shared" si="2"/>
        <v/>
      </c>
      <c r="W13" s="20" t="str">
        <f t="shared" si="2"/>
        <v/>
      </c>
      <c r="X13" s="20" t="str">
        <f t="shared" si="2"/>
        <v/>
      </c>
    </row>
    <row r="14" spans="1:24" x14ac:dyDescent="0.25">
      <c r="A14" s="14" t="s">
        <v>65</v>
      </c>
      <c r="B14" s="15">
        <v>1</v>
      </c>
      <c r="C14" s="16" t="s">
        <v>66</v>
      </c>
      <c r="D14" s="16" t="s">
        <v>67</v>
      </c>
      <c r="E14" s="17" t="s">
        <v>15</v>
      </c>
      <c r="F14" s="17">
        <v>12</v>
      </c>
      <c r="G14" s="17">
        <v>6</v>
      </c>
      <c r="H14" s="18">
        <f>Parámetros!$B$3+F14</f>
        <v>46305</v>
      </c>
      <c r="I14" s="18">
        <f t="shared" si="0"/>
        <v>46310</v>
      </c>
      <c r="J14" s="15">
        <f>INT((H14-Parámetros!$B$3)/7)+1</f>
        <v>2</v>
      </c>
      <c r="K14" s="16" t="s">
        <v>61</v>
      </c>
      <c r="L14" s="19">
        <v>1</v>
      </c>
      <c r="M14" s="15" t="str">
        <f t="shared" si="1"/>
        <v>Completada</v>
      </c>
      <c r="N14" s="20" t="str">
        <f t="shared" si="2"/>
        <v/>
      </c>
      <c r="O14" s="20" t="str">
        <f t="shared" si="2"/>
        <v/>
      </c>
      <c r="P14" s="20" t="str">
        <f t="shared" si="2"/>
        <v/>
      </c>
      <c r="Q14" s="20" t="str">
        <f t="shared" si="2"/>
        <v/>
      </c>
      <c r="R14" s="20" t="str">
        <f t="shared" si="2"/>
        <v/>
      </c>
      <c r="S14" s="20" t="str">
        <f t="shared" si="2"/>
        <v/>
      </c>
      <c r="T14" s="20" t="str">
        <f t="shared" si="2"/>
        <v/>
      </c>
      <c r="U14" s="20" t="str">
        <f t="shared" si="2"/>
        <v/>
      </c>
      <c r="V14" s="20" t="str">
        <f t="shared" si="2"/>
        <v/>
      </c>
      <c r="W14" s="20" t="str">
        <f t="shared" si="2"/>
        <v/>
      </c>
      <c r="X14" s="20" t="str">
        <f t="shared" si="2"/>
        <v/>
      </c>
    </row>
    <row r="15" spans="1:24" x14ac:dyDescent="0.25">
      <c r="A15" s="14" t="s">
        <v>68</v>
      </c>
      <c r="B15" s="15">
        <v>1</v>
      </c>
      <c r="C15" s="16" t="s">
        <v>69</v>
      </c>
      <c r="D15" s="16" t="s">
        <v>70</v>
      </c>
      <c r="E15" s="17" t="s">
        <v>16</v>
      </c>
      <c r="F15" s="17">
        <v>18</v>
      </c>
      <c r="G15" s="17">
        <v>3</v>
      </c>
      <c r="H15" s="18">
        <f>Parámetros!$B$3+F15</f>
        <v>46311</v>
      </c>
      <c r="I15" s="18">
        <f t="shared" si="0"/>
        <v>46313</v>
      </c>
      <c r="J15" s="15">
        <f>INT((H15-Parámetros!$B$3)/7)+1</f>
        <v>3</v>
      </c>
      <c r="K15" s="16" t="s">
        <v>65</v>
      </c>
      <c r="L15" s="19">
        <v>1</v>
      </c>
      <c r="M15" s="15" t="str">
        <f t="shared" si="1"/>
        <v>Completada</v>
      </c>
      <c r="N15" s="20" t="str">
        <f t="shared" si="2"/>
        <v/>
      </c>
      <c r="O15" s="20" t="str">
        <f t="shared" si="2"/>
        <v/>
      </c>
      <c r="P15" s="20" t="str">
        <f t="shared" si="2"/>
        <v/>
      </c>
      <c r="Q15" s="20" t="str">
        <f t="shared" si="2"/>
        <v/>
      </c>
      <c r="R15" s="20" t="str">
        <f t="shared" si="2"/>
        <v/>
      </c>
      <c r="S15" s="20" t="str">
        <f t="shared" si="2"/>
        <v/>
      </c>
      <c r="T15" s="20" t="str">
        <f t="shared" si="2"/>
        <v/>
      </c>
      <c r="U15" s="20" t="str">
        <f t="shared" si="2"/>
        <v/>
      </c>
      <c r="V15" s="20" t="str">
        <f t="shared" si="2"/>
        <v/>
      </c>
      <c r="W15" s="20" t="str">
        <f t="shared" si="2"/>
        <v/>
      </c>
      <c r="X15" s="20" t="str">
        <f t="shared" si="2"/>
        <v/>
      </c>
    </row>
    <row r="16" spans="1:24" x14ac:dyDescent="0.25">
      <c r="A16" s="21" t="s">
        <v>71</v>
      </c>
      <c r="B16" s="15">
        <v>1</v>
      </c>
      <c r="C16" s="22" t="s">
        <v>72</v>
      </c>
      <c r="D16" s="16" t="s">
        <v>73</v>
      </c>
      <c r="E16" s="17" t="s">
        <v>15</v>
      </c>
      <c r="F16" s="15">
        <f>H16-Parámetros!$B$3</f>
        <v>21</v>
      </c>
      <c r="G16" s="15">
        <v>0</v>
      </c>
      <c r="H16" s="23">
        <f>Parámetros!$B$10</f>
        <v>46314</v>
      </c>
      <c r="I16" s="18">
        <f t="shared" si="0"/>
        <v>46314</v>
      </c>
      <c r="J16" s="15">
        <f>INT((H16-Parámetros!$B$3)/7)+1</f>
        <v>4</v>
      </c>
      <c r="K16" s="16" t="s">
        <v>68</v>
      </c>
      <c r="L16" s="19">
        <v>1</v>
      </c>
      <c r="M16" s="15" t="str">
        <f t="shared" si="1"/>
        <v>Completada</v>
      </c>
      <c r="N16" s="20" t="str">
        <f t="shared" ref="N16:X25" si="3">IF(AND($G16=0,$H16&gt;=N$4,$H16&lt;=N$4+6),"◆","")</f>
        <v/>
      </c>
      <c r="O16" s="20" t="str">
        <f t="shared" si="3"/>
        <v/>
      </c>
      <c r="P16" s="20" t="str">
        <f t="shared" si="3"/>
        <v/>
      </c>
      <c r="Q16" s="20" t="str">
        <f t="shared" si="3"/>
        <v>◆</v>
      </c>
      <c r="R16" s="20" t="str">
        <f t="shared" si="3"/>
        <v/>
      </c>
      <c r="S16" s="20" t="str">
        <f t="shared" si="3"/>
        <v/>
      </c>
      <c r="T16" s="20" t="str">
        <f t="shared" si="3"/>
        <v/>
      </c>
      <c r="U16" s="20" t="str">
        <f t="shared" si="3"/>
        <v/>
      </c>
      <c r="V16" s="20" t="str">
        <f t="shared" si="3"/>
        <v/>
      </c>
      <c r="W16" s="20" t="str">
        <f t="shared" si="3"/>
        <v/>
      </c>
      <c r="X16" s="20" t="str">
        <f t="shared" si="3"/>
        <v/>
      </c>
    </row>
    <row r="17" spans="1:24" ht="25.5" x14ac:dyDescent="0.25">
      <c r="A17" s="14" t="s">
        <v>74</v>
      </c>
      <c r="B17" s="15">
        <v>2</v>
      </c>
      <c r="C17" s="16" t="s">
        <v>75</v>
      </c>
      <c r="D17" s="16" t="s">
        <v>76</v>
      </c>
      <c r="E17" s="17" t="s">
        <v>15</v>
      </c>
      <c r="F17" s="17">
        <v>14</v>
      </c>
      <c r="G17" s="17">
        <v>6</v>
      </c>
      <c r="H17" s="18">
        <f>Parámetros!$B$3+F17</f>
        <v>46307</v>
      </c>
      <c r="I17" s="18">
        <f t="shared" si="0"/>
        <v>46312</v>
      </c>
      <c r="J17" s="15">
        <f>INT((H17-Parámetros!$B$3)/7)+1</f>
        <v>3</v>
      </c>
      <c r="K17" s="16" t="s">
        <v>46</v>
      </c>
      <c r="L17" s="19">
        <v>0</v>
      </c>
      <c r="M17" s="15" t="str">
        <f t="shared" si="1"/>
        <v>Atrasada</v>
      </c>
      <c r="N17" s="20" t="str">
        <f t="shared" si="3"/>
        <v/>
      </c>
      <c r="O17" s="20" t="str">
        <f t="shared" si="3"/>
        <v/>
      </c>
      <c r="P17" s="20" t="str">
        <f t="shared" si="3"/>
        <v/>
      </c>
      <c r="Q17" s="20" t="str">
        <f t="shared" si="3"/>
        <v/>
      </c>
      <c r="R17" s="20" t="str">
        <f t="shared" si="3"/>
        <v/>
      </c>
      <c r="S17" s="20" t="str">
        <f t="shared" si="3"/>
        <v/>
      </c>
      <c r="T17" s="20" t="str">
        <f t="shared" si="3"/>
        <v/>
      </c>
      <c r="U17" s="20" t="str">
        <f t="shared" si="3"/>
        <v/>
      </c>
      <c r="V17" s="20" t="str">
        <f t="shared" si="3"/>
        <v/>
      </c>
      <c r="W17" s="20" t="str">
        <f t="shared" si="3"/>
        <v/>
      </c>
      <c r="X17" s="20" t="str">
        <f t="shared" si="3"/>
        <v/>
      </c>
    </row>
    <row r="18" spans="1:24" x14ac:dyDescent="0.25">
      <c r="A18" s="14" t="s">
        <v>77</v>
      </c>
      <c r="B18" s="15">
        <v>2</v>
      </c>
      <c r="C18" s="16" t="s">
        <v>78</v>
      </c>
      <c r="D18" s="16" t="s">
        <v>79</v>
      </c>
      <c r="E18" s="17" t="s">
        <v>16</v>
      </c>
      <c r="F18" s="17">
        <v>18</v>
      </c>
      <c r="G18" s="17">
        <v>5</v>
      </c>
      <c r="H18" s="18">
        <f>Parámetros!$B$3+F18</f>
        <v>46311</v>
      </c>
      <c r="I18" s="18">
        <f t="shared" si="0"/>
        <v>46315</v>
      </c>
      <c r="J18" s="15">
        <f>INT((H18-Parámetros!$B$3)/7)+1</f>
        <v>3</v>
      </c>
      <c r="K18" s="16" t="s">
        <v>74</v>
      </c>
      <c r="L18" s="19">
        <v>0</v>
      </c>
      <c r="M18" s="15" t="str">
        <f t="shared" si="1"/>
        <v>En curso</v>
      </c>
      <c r="N18" s="20" t="str">
        <f t="shared" si="3"/>
        <v/>
      </c>
      <c r="O18" s="20" t="str">
        <f t="shared" si="3"/>
        <v/>
      </c>
      <c r="P18" s="20" t="str">
        <f t="shared" si="3"/>
        <v/>
      </c>
      <c r="Q18" s="20" t="str">
        <f t="shared" si="3"/>
        <v/>
      </c>
      <c r="R18" s="20" t="str">
        <f t="shared" si="3"/>
        <v/>
      </c>
      <c r="S18" s="20" t="str">
        <f t="shared" si="3"/>
        <v/>
      </c>
      <c r="T18" s="20" t="str">
        <f t="shared" si="3"/>
        <v/>
      </c>
      <c r="U18" s="20" t="str">
        <f t="shared" si="3"/>
        <v/>
      </c>
      <c r="V18" s="20" t="str">
        <f t="shared" si="3"/>
        <v/>
      </c>
      <c r="W18" s="20" t="str">
        <f t="shared" si="3"/>
        <v/>
      </c>
      <c r="X18" s="20" t="str">
        <f t="shared" si="3"/>
        <v/>
      </c>
    </row>
    <row r="19" spans="1:24" x14ac:dyDescent="0.25">
      <c r="A19" s="14" t="s">
        <v>80</v>
      </c>
      <c r="B19" s="15">
        <v>2</v>
      </c>
      <c r="C19" s="16" t="s">
        <v>81</v>
      </c>
      <c r="D19" s="16" t="s">
        <v>82</v>
      </c>
      <c r="E19" s="17" t="s">
        <v>16</v>
      </c>
      <c r="F19" s="17">
        <v>21</v>
      </c>
      <c r="G19" s="17">
        <v>5</v>
      </c>
      <c r="H19" s="18">
        <f>Parámetros!$B$3+F19</f>
        <v>46314</v>
      </c>
      <c r="I19" s="18">
        <f t="shared" si="0"/>
        <v>46318</v>
      </c>
      <c r="J19" s="15">
        <f>INT((H19-Parámetros!$B$3)/7)+1</f>
        <v>4</v>
      </c>
      <c r="K19" s="16" t="s">
        <v>77</v>
      </c>
      <c r="L19" s="19">
        <v>0</v>
      </c>
      <c r="M19" s="15" t="str">
        <f t="shared" si="1"/>
        <v>En curso</v>
      </c>
      <c r="N19" s="20" t="str">
        <f t="shared" si="3"/>
        <v/>
      </c>
      <c r="O19" s="20" t="str">
        <f t="shared" si="3"/>
        <v/>
      </c>
      <c r="P19" s="20" t="str">
        <f t="shared" si="3"/>
        <v/>
      </c>
      <c r="Q19" s="20" t="str">
        <f t="shared" si="3"/>
        <v/>
      </c>
      <c r="R19" s="20" t="str">
        <f t="shared" si="3"/>
        <v/>
      </c>
      <c r="S19" s="20" t="str">
        <f t="shared" si="3"/>
        <v/>
      </c>
      <c r="T19" s="20" t="str">
        <f t="shared" si="3"/>
        <v/>
      </c>
      <c r="U19" s="20" t="str">
        <f t="shared" si="3"/>
        <v/>
      </c>
      <c r="V19" s="20" t="str">
        <f t="shared" si="3"/>
        <v/>
      </c>
      <c r="W19" s="20" t="str">
        <f t="shared" si="3"/>
        <v/>
      </c>
      <c r="X19" s="20" t="str">
        <f t="shared" si="3"/>
        <v/>
      </c>
    </row>
    <row r="20" spans="1:24" x14ac:dyDescent="0.25">
      <c r="A20" s="14" t="s">
        <v>83</v>
      </c>
      <c r="B20" s="15">
        <v>2</v>
      </c>
      <c r="C20" s="16" t="s">
        <v>84</v>
      </c>
      <c r="D20" s="16" t="s">
        <v>85</v>
      </c>
      <c r="E20" s="17" t="s">
        <v>16</v>
      </c>
      <c r="F20" s="17">
        <v>22</v>
      </c>
      <c r="G20" s="17">
        <v>9</v>
      </c>
      <c r="H20" s="18">
        <f>Parámetros!$B$3+F20</f>
        <v>46315</v>
      </c>
      <c r="I20" s="18">
        <f t="shared" si="0"/>
        <v>46323</v>
      </c>
      <c r="J20" s="15">
        <f>INT((H20-Parámetros!$B$3)/7)+1</f>
        <v>4</v>
      </c>
      <c r="K20" s="16" t="s">
        <v>80</v>
      </c>
      <c r="L20" s="19">
        <v>0</v>
      </c>
      <c r="M20" s="15" t="str">
        <f t="shared" si="1"/>
        <v>Pendiente</v>
      </c>
      <c r="N20" s="20" t="str">
        <f t="shared" si="3"/>
        <v/>
      </c>
      <c r="O20" s="20" t="str">
        <f t="shared" si="3"/>
        <v/>
      </c>
      <c r="P20" s="20" t="str">
        <f t="shared" si="3"/>
        <v/>
      </c>
      <c r="Q20" s="20" t="str">
        <f t="shared" si="3"/>
        <v/>
      </c>
      <c r="R20" s="20" t="str">
        <f t="shared" si="3"/>
        <v/>
      </c>
      <c r="S20" s="20" t="str">
        <f t="shared" si="3"/>
        <v/>
      </c>
      <c r="T20" s="20" t="str">
        <f t="shared" si="3"/>
        <v/>
      </c>
      <c r="U20" s="20" t="str">
        <f t="shared" si="3"/>
        <v/>
      </c>
      <c r="V20" s="20" t="str">
        <f t="shared" si="3"/>
        <v/>
      </c>
      <c r="W20" s="20" t="str">
        <f t="shared" si="3"/>
        <v/>
      </c>
      <c r="X20" s="20" t="str">
        <f t="shared" si="3"/>
        <v/>
      </c>
    </row>
    <row r="21" spans="1:24" x14ac:dyDescent="0.25">
      <c r="A21" s="14" t="s">
        <v>86</v>
      </c>
      <c r="B21" s="15">
        <v>2</v>
      </c>
      <c r="C21" s="16" t="s">
        <v>87</v>
      </c>
      <c r="D21" s="16" t="s">
        <v>88</v>
      </c>
      <c r="E21" s="17" t="s">
        <v>16</v>
      </c>
      <c r="F21" s="17">
        <v>25</v>
      </c>
      <c r="G21" s="17">
        <v>5</v>
      </c>
      <c r="H21" s="18">
        <f>Parámetros!$B$3+F21</f>
        <v>46318</v>
      </c>
      <c r="I21" s="18">
        <f t="shared" si="0"/>
        <v>46322</v>
      </c>
      <c r="J21" s="15">
        <f>INT((H21-Parámetros!$B$3)/7)+1</f>
        <v>4</v>
      </c>
      <c r="K21" s="16" t="s">
        <v>80</v>
      </c>
      <c r="L21" s="19">
        <v>0</v>
      </c>
      <c r="M21" s="15" t="str">
        <f t="shared" si="1"/>
        <v>Pendiente</v>
      </c>
      <c r="N21" s="20" t="str">
        <f t="shared" si="3"/>
        <v/>
      </c>
      <c r="O21" s="20" t="str">
        <f t="shared" si="3"/>
        <v/>
      </c>
      <c r="P21" s="20" t="str">
        <f t="shared" si="3"/>
        <v/>
      </c>
      <c r="Q21" s="20" t="str">
        <f t="shared" si="3"/>
        <v/>
      </c>
      <c r="R21" s="20" t="str">
        <f t="shared" si="3"/>
        <v/>
      </c>
      <c r="S21" s="20" t="str">
        <f t="shared" si="3"/>
        <v/>
      </c>
      <c r="T21" s="20" t="str">
        <f t="shared" si="3"/>
        <v/>
      </c>
      <c r="U21" s="20" t="str">
        <f t="shared" si="3"/>
        <v/>
      </c>
      <c r="V21" s="20" t="str">
        <f t="shared" si="3"/>
        <v/>
      </c>
      <c r="W21" s="20" t="str">
        <f t="shared" si="3"/>
        <v/>
      </c>
      <c r="X21" s="20" t="str">
        <f t="shared" si="3"/>
        <v/>
      </c>
    </row>
    <row r="22" spans="1:24" x14ac:dyDescent="0.25">
      <c r="A22" s="14" t="s">
        <v>89</v>
      </c>
      <c r="B22" s="15">
        <v>2</v>
      </c>
      <c r="C22" s="16" t="s">
        <v>90</v>
      </c>
      <c r="D22" s="16" t="s">
        <v>91</v>
      </c>
      <c r="E22" s="17" t="s">
        <v>15</v>
      </c>
      <c r="F22" s="17">
        <v>28</v>
      </c>
      <c r="G22" s="17">
        <v>5</v>
      </c>
      <c r="H22" s="18">
        <f>Parámetros!$B$3+F22</f>
        <v>46321</v>
      </c>
      <c r="I22" s="18">
        <f t="shared" si="0"/>
        <v>46325</v>
      </c>
      <c r="J22" s="15">
        <f>INT((H22-Parámetros!$B$3)/7)+1</f>
        <v>5</v>
      </c>
      <c r="K22" s="16" t="s">
        <v>83</v>
      </c>
      <c r="L22" s="19">
        <v>0</v>
      </c>
      <c r="M22" s="15" t="str">
        <f t="shared" si="1"/>
        <v>Pendiente</v>
      </c>
      <c r="N22" s="20" t="str">
        <f t="shared" si="3"/>
        <v/>
      </c>
      <c r="O22" s="20" t="str">
        <f t="shared" si="3"/>
        <v/>
      </c>
      <c r="P22" s="20" t="str">
        <f t="shared" si="3"/>
        <v/>
      </c>
      <c r="Q22" s="20" t="str">
        <f t="shared" si="3"/>
        <v/>
      </c>
      <c r="R22" s="20" t="str">
        <f t="shared" si="3"/>
        <v/>
      </c>
      <c r="S22" s="20" t="str">
        <f t="shared" si="3"/>
        <v/>
      </c>
      <c r="T22" s="20" t="str">
        <f t="shared" si="3"/>
        <v/>
      </c>
      <c r="U22" s="20" t="str">
        <f t="shared" si="3"/>
        <v/>
      </c>
      <c r="V22" s="20" t="str">
        <f t="shared" si="3"/>
        <v/>
      </c>
      <c r="W22" s="20" t="str">
        <f t="shared" si="3"/>
        <v/>
      </c>
      <c r="X22" s="20" t="str">
        <f t="shared" si="3"/>
        <v/>
      </c>
    </row>
    <row r="23" spans="1:24" x14ac:dyDescent="0.25">
      <c r="A23" s="14" t="s">
        <v>92</v>
      </c>
      <c r="B23" s="15">
        <v>2</v>
      </c>
      <c r="C23" s="16" t="s">
        <v>93</v>
      </c>
      <c r="D23" s="16" t="s">
        <v>94</v>
      </c>
      <c r="E23" s="17" t="s">
        <v>16</v>
      </c>
      <c r="F23" s="17">
        <v>29</v>
      </c>
      <c r="G23" s="17">
        <v>12</v>
      </c>
      <c r="H23" s="18">
        <f>Parámetros!$B$3+F23</f>
        <v>46322</v>
      </c>
      <c r="I23" s="18">
        <f t="shared" si="0"/>
        <v>46333</v>
      </c>
      <c r="J23" s="15">
        <f>INT((H23-Parámetros!$B$3)/7)+1</f>
        <v>5</v>
      </c>
      <c r="K23" s="16" t="s">
        <v>86</v>
      </c>
      <c r="L23" s="19">
        <v>0</v>
      </c>
      <c r="M23" s="15" t="str">
        <f t="shared" si="1"/>
        <v>Pendiente</v>
      </c>
      <c r="N23" s="20" t="str">
        <f t="shared" si="3"/>
        <v/>
      </c>
      <c r="O23" s="20" t="str">
        <f t="shared" si="3"/>
        <v/>
      </c>
      <c r="P23" s="20" t="str">
        <f t="shared" si="3"/>
        <v/>
      </c>
      <c r="Q23" s="20" t="str">
        <f t="shared" si="3"/>
        <v/>
      </c>
      <c r="R23" s="20" t="str">
        <f t="shared" si="3"/>
        <v/>
      </c>
      <c r="S23" s="20" t="str">
        <f t="shared" si="3"/>
        <v/>
      </c>
      <c r="T23" s="20" t="str">
        <f t="shared" si="3"/>
        <v/>
      </c>
      <c r="U23" s="20" t="str">
        <f t="shared" si="3"/>
        <v/>
      </c>
      <c r="V23" s="20" t="str">
        <f t="shared" si="3"/>
        <v/>
      </c>
      <c r="W23" s="20" t="str">
        <f t="shared" si="3"/>
        <v/>
      </c>
      <c r="X23" s="20" t="str">
        <f t="shared" si="3"/>
        <v/>
      </c>
    </row>
    <row r="24" spans="1:24" x14ac:dyDescent="0.25">
      <c r="A24" s="14" t="s">
        <v>95</v>
      </c>
      <c r="B24" s="15">
        <v>2</v>
      </c>
      <c r="C24" s="16" t="s">
        <v>96</v>
      </c>
      <c r="D24" s="16" t="s">
        <v>97</v>
      </c>
      <c r="E24" s="17" t="s">
        <v>15</v>
      </c>
      <c r="F24" s="17">
        <v>41</v>
      </c>
      <c r="G24" s="17">
        <v>9</v>
      </c>
      <c r="H24" s="18">
        <f>Parámetros!$B$3+F24</f>
        <v>46334</v>
      </c>
      <c r="I24" s="18">
        <f t="shared" si="0"/>
        <v>46342</v>
      </c>
      <c r="J24" s="15">
        <f>INT((H24-Parámetros!$B$3)/7)+1</f>
        <v>6</v>
      </c>
      <c r="K24" s="16" t="s">
        <v>98</v>
      </c>
      <c r="L24" s="19">
        <v>0</v>
      </c>
      <c r="M24" s="15" t="str">
        <f t="shared" si="1"/>
        <v>Pendiente</v>
      </c>
      <c r="N24" s="20" t="str">
        <f t="shared" si="3"/>
        <v/>
      </c>
      <c r="O24" s="20" t="str">
        <f t="shared" si="3"/>
        <v/>
      </c>
      <c r="P24" s="20" t="str">
        <f t="shared" si="3"/>
        <v/>
      </c>
      <c r="Q24" s="20" t="str">
        <f t="shared" si="3"/>
        <v/>
      </c>
      <c r="R24" s="20" t="str">
        <f t="shared" si="3"/>
        <v/>
      </c>
      <c r="S24" s="20" t="str">
        <f t="shared" si="3"/>
        <v/>
      </c>
      <c r="T24" s="20" t="str">
        <f t="shared" si="3"/>
        <v/>
      </c>
      <c r="U24" s="20" t="str">
        <f t="shared" si="3"/>
        <v/>
      </c>
      <c r="V24" s="20" t="str">
        <f t="shared" si="3"/>
        <v/>
      </c>
      <c r="W24" s="20" t="str">
        <f t="shared" si="3"/>
        <v/>
      </c>
      <c r="X24" s="20" t="str">
        <f t="shared" si="3"/>
        <v/>
      </c>
    </row>
    <row r="25" spans="1:24" x14ac:dyDescent="0.25">
      <c r="A25" s="14" t="s">
        <v>99</v>
      </c>
      <c r="B25" s="15">
        <v>2</v>
      </c>
      <c r="C25" s="16" t="s">
        <v>100</v>
      </c>
      <c r="D25" s="16" t="s">
        <v>101</v>
      </c>
      <c r="E25" s="17" t="s">
        <v>16</v>
      </c>
      <c r="F25" s="17">
        <v>49</v>
      </c>
      <c r="G25" s="17">
        <v>3</v>
      </c>
      <c r="H25" s="18">
        <f>Parámetros!$B$3+F25</f>
        <v>46342</v>
      </c>
      <c r="I25" s="18">
        <f t="shared" si="0"/>
        <v>46344</v>
      </c>
      <c r="J25" s="15">
        <f>INT((H25-Parámetros!$B$3)/7)+1</f>
        <v>8</v>
      </c>
      <c r="K25" s="16" t="s">
        <v>95</v>
      </c>
      <c r="L25" s="19">
        <v>0</v>
      </c>
      <c r="M25" s="15" t="str">
        <f t="shared" si="1"/>
        <v>Pendiente</v>
      </c>
      <c r="N25" s="20" t="str">
        <f t="shared" si="3"/>
        <v/>
      </c>
      <c r="O25" s="20" t="str">
        <f t="shared" si="3"/>
        <v/>
      </c>
      <c r="P25" s="20" t="str">
        <f t="shared" si="3"/>
        <v/>
      </c>
      <c r="Q25" s="20" t="str">
        <f t="shared" si="3"/>
        <v/>
      </c>
      <c r="R25" s="20" t="str">
        <f t="shared" si="3"/>
        <v/>
      </c>
      <c r="S25" s="20" t="str">
        <f t="shared" si="3"/>
        <v/>
      </c>
      <c r="T25" s="20" t="str">
        <f t="shared" si="3"/>
        <v/>
      </c>
      <c r="U25" s="20" t="str">
        <f t="shared" si="3"/>
        <v/>
      </c>
      <c r="V25" s="20" t="str">
        <f t="shared" si="3"/>
        <v/>
      </c>
      <c r="W25" s="20" t="str">
        <f t="shared" si="3"/>
        <v/>
      </c>
      <c r="X25" s="20" t="str">
        <f t="shared" si="3"/>
        <v/>
      </c>
    </row>
    <row r="26" spans="1:24" x14ac:dyDescent="0.25">
      <c r="A26" s="21" t="s">
        <v>102</v>
      </c>
      <c r="B26" s="15">
        <v>2</v>
      </c>
      <c r="C26" s="22" t="s">
        <v>103</v>
      </c>
      <c r="D26" s="16" t="s">
        <v>73</v>
      </c>
      <c r="E26" s="17" t="s">
        <v>15</v>
      </c>
      <c r="F26" s="15">
        <f>H26-Parámetros!$B$3</f>
        <v>52</v>
      </c>
      <c r="G26" s="15">
        <v>0</v>
      </c>
      <c r="H26" s="23">
        <f>Parámetros!$B$11</f>
        <v>46345</v>
      </c>
      <c r="I26" s="18">
        <f t="shared" si="0"/>
        <v>46345</v>
      </c>
      <c r="J26" s="15">
        <f>INT((H26-Parámetros!$B$3)/7)+1</f>
        <v>8</v>
      </c>
      <c r="K26" s="16" t="s">
        <v>99</v>
      </c>
      <c r="L26" s="19">
        <v>0</v>
      </c>
      <c r="M26" s="15" t="str">
        <f t="shared" si="1"/>
        <v>Pendiente</v>
      </c>
      <c r="N26" s="20" t="str">
        <f t="shared" ref="N26:X36" si="4">IF(AND($G26=0,$H26&gt;=N$4,$H26&lt;=N$4+6),"◆","")</f>
        <v/>
      </c>
      <c r="O26" s="20" t="str">
        <f t="shared" si="4"/>
        <v/>
      </c>
      <c r="P26" s="20" t="str">
        <f t="shared" si="4"/>
        <v/>
      </c>
      <c r="Q26" s="20" t="str">
        <f t="shared" si="4"/>
        <v/>
      </c>
      <c r="R26" s="20" t="str">
        <f t="shared" si="4"/>
        <v/>
      </c>
      <c r="S26" s="20" t="str">
        <f t="shared" si="4"/>
        <v/>
      </c>
      <c r="T26" s="20" t="str">
        <f t="shared" si="4"/>
        <v/>
      </c>
      <c r="U26" s="20" t="str">
        <f t="shared" si="4"/>
        <v>◆</v>
      </c>
      <c r="V26" s="20" t="str">
        <f t="shared" si="4"/>
        <v/>
      </c>
      <c r="W26" s="20" t="str">
        <f t="shared" si="4"/>
        <v/>
      </c>
      <c r="X26" s="20" t="str">
        <f t="shared" si="4"/>
        <v/>
      </c>
    </row>
    <row r="27" spans="1:24" x14ac:dyDescent="0.25">
      <c r="A27" s="14" t="s">
        <v>104</v>
      </c>
      <c r="B27" s="15">
        <v>3</v>
      </c>
      <c r="C27" s="16" t="s">
        <v>105</v>
      </c>
      <c r="D27" s="16" t="s">
        <v>106</v>
      </c>
      <c r="E27" s="17" t="s">
        <v>16</v>
      </c>
      <c r="F27" s="17">
        <v>36</v>
      </c>
      <c r="G27" s="17">
        <v>12</v>
      </c>
      <c r="H27" s="18">
        <f>Parámetros!$B$3+F27</f>
        <v>46329</v>
      </c>
      <c r="I27" s="18">
        <f t="shared" si="0"/>
        <v>46340</v>
      </c>
      <c r="J27" s="15">
        <f>INT((H27-Parámetros!$B$3)/7)+1</f>
        <v>6</v>
      </c>
      <c r="K27" s="16" t="s">
        <v>86</v>
      </c>
      <c r="L27" s="19">
        <v>0</v>
      </c>
      <c r="M27" s="15" t="str">
        <f t="shared" si="1"/>
        <v>Pendiente</v>
      </c>
      <c r="N27" s="20" t="str">
        <f t="shared" si="4"/>
        <v/>
      </c>
      <c r="O27" s="20" t="str">
        <f t="shared" si="4"/>
        <v/>
      </c>
      <c r="P27" s="20" t="str">
        <f t="shared" si="4"/>
        <v/>
      </c>
      <c r="Q27" s="20" t="str">
        <f t="shared" si="4"/>
        <v/>
      </c>
      <c r="R27" s="20" t="str">
        <f t="shared" si="4"/>
        <v/>
      </c>
      <c r="S27" s="20" t="str">
        <f t="shared" si="4"/>
        <v/>
      </c>
      <c r="T27" s="20" t="str">
        <f t="shared" si="4"/>
        <v/>
      </c>
      <c r="U27" s="20" t="str">
        <f t="shared" si="4"/>
        <v/>
      </c>
      <c r="V27" s="20" t="str">
        <f t="shared" si="4"/>
        <v/>
      </c>
      <c r="W27" s="20" t="str">
        <f t="shared" si="4"/>
        <v/>
      </c>
      <c r="X27" s="20" t="str">
        <f t="shared" si="4"/>
        <v/>
      </c>
    </row>
    <row r="28" spans="1:24" ht="25.5" x14ac:dyDescent="0.25">
      <c r="A28" s="14" t="s">
        <v>107</v>
      </c>
      <c r="B28" s="15">
        <v>3</v>
      </c>
      <c r="C28" s="16" t="s">
        <v>108</v>
      </c>
      <c r="D28" s="16" t="s">
        <v>106</v>
      </c>
      <c r="E28" s="17" t="s">
        <v>16</v>
      </c>
      <c r="F28" s="17">
        <v>38</v>
      </c>
      <c r="G28" s="17">
        <v>12</v>
      </c>
      <c r="H28" s="18">
        <f>Parámetros!$B$3+F28</f>
        <v>46331</v>
      </c>
      <c r="I28" s="18">
        <f t="shared" si="0"/>
        <v>46342</v>
      </c>
      <c r="J28" s="15">
        <f>INT((H28-Parámetros!$B$3)/7)+1</f>
        <v>6</v>
      </c>
      <c r="K28" s="16" t="s">
        <v>80</v>
      </c>
      <c r="L28" s="19">
        <v>0</v>
      </c>
      <c r="M28" s="15" t="str">
        <f t="shared" si="1"/>
        <v>Pendiente</v>
      </c>
      <c r="N28" s="20" t="str">
        <f t="shared" si="4"/>
        <v/>
      </c>
      <c r="O28" s="20" t="str">
        <f t="shared" si="4"/>
        <v/>
      </c>
      <c r="P28" s="20" t="str">
        <f t="shared" si="4"/>
        <v/>
      </c>
      <c r="Q28" s="20" t="str">
        <f t="shared" si="4"/>
        <v/>
      </c>
      <c r="R28" s="20" t="str">
        <f t="shared" si="4"/>
        <v/>
      </c>
      <c r="S28" s="20" t="str">
        <f t="shared" si="4"/>
        <v/>
      </c>
      <c r="T28" s="20" t="str">
        <f t="shared" si="4"/>
        <v/>
      </c>
      <c r="U28" s="20" t="str">
        <f t="shared" si="4"/>
        <v/>
      </c>
      <c r="V28" s="20" t="str">
        <f t="shared" si="4"/>
        <v/>
      </c>
      <c r="W28" s="20" t="str">
        <f t="shared" si="4"/>
        <v/>
      </c>
      <c r="X28" s="20" t="str">
        <f t="shared" si="4"/>
        <v/>
      </c>
    </row>
    <row r="29" spans="1:24" x14ac:dyDescent="0.25">
      <c r="A29" s="14" t="s">
        <v>109</v>
      </c>
      <c r="B29" s="15">
        <v>3</v>
      </c>
      <c r="C29" s="16" t="s">
        <v>110</v>
      </c>
      <c r="D29" s="16" t="s">
        <v>111</v>
      </c>
      <c r="E29" s="17" t="s">
        <v>16</v>
      </c>
      <c r="F29" s="17">
        <v>45</v>
      </c>
      <c r="G29" s="17">
        <v>8</v>
      </c>
      <c r="H29" s="18">
        <f>Parámetros!$B$3+F29</f>
        <v>46338</v>
      </c>
      <c r="I29" s="18">
        <f t="shared" si="0"/>
        <v>46345</v>
      </c>
      <c r="J29" s="15">
        <f>INT((H29-Parámetros!$B$3)/7)+1</f>
        <v>7</v>
      </c>
      <c r="K29" s="16" t="s">
        <v>104</v>
      </c>
      <c r="L29" s="19">
        <v>0</v>
      </c>
      <c r="M29" s="15" t="str">
        <f t="shared" si="1"/>
        <v>Pendiente</v>
      </c>
      <c r="N29" s="20" t="str">
        <f t="shared" si="4"/>
        <v/>
      </c>
      <c r="O29" s="20" t="str">
        <f t="shared" si="4"/>
        <v/>
      </c>
      <c r="P29" s="20" t="str">
        <f t="shared" si="4"/>
        <v/>
      </c>
      <c r="Q29" s="20" t="str">
        <f t="shared" si="4"/>
        <v/>
      </c>
      <c r="R29" s="20" t="str">
        <f t="shared" si="4"/>
        <v/>
      </c>
      <c r="S29" s="20" t="str">
        <f t="shared" si="4"/>
        <v/>
      </c>
      <c r="T29" s="20" t="str">
        <f t="shared" si="4"/>
        <v/>
      </c>
      <c r="U29" s="20" t="str">
        <f t="shared" si="4"/>
        <v/>
      </c>
      <c r="V29" s="20" t="str">
        <f t="shared" si="4"/>
        <v/>
      </c>
      <c r="W29" s="20" t="str">
        <f t="shared" si="4"/>
        <v/>
      </c>
      <c r="X29" s="20" t="str">
        <f t="shared" si="4"/>
        <v/>
      </c>
    </row>
    <row r="30" spans="1:24" x14ac:dyDescent="0.25">
      <c r="A30" s="14" t="s">
        <v>112</v>
      </c>
      <c r="B30" s="15">
        <v>3</v>
      </c>
      <c r="C30" s="16" t="s">
        <v>113</v>
      </c>
      <c r="D30" s="16" t="s">
        <v>114</v>
      </c>
      <c r="E30" s="17" t="s">
        <v>15</v>
      </c>
      <c r="F30" s="17">
        <v>52</v>
      </c>
      <c r="G30" s="17">
        <v>5</v>
      </c>
      <c r="H30" s="18">
        <f>Parámetros!$B$3+F30</f>
        <v>46345</v>
      </c>
      <c r="I30" s="18">
        <f t="shared" si="0"/>
        <v>46349</v>
      </c>
      <c r="J30" s="15">
        <f>INT((H30-Parámetros!$B$3)/7)+1</f>
        <v>8</v>
      </c>
      <c r="K30" s="16" t="s">
        <v>115</v>
      </c>
      <c r="L30" s="19">
        <v>0</v>
      </c>
      <c r="M30" s="15" t="str">
        <f t="shared" si="1"/>
        <v>Pendiente</v>
      </c>
      <c r="N30" s="20" t="str">
        <f t="shared" si="4"/>
        <v/>
      </c>
      <c r="O30" s="20" t="str">
        <f t="shared" si="4"/>
        <v/>
      </c>
      <c r="P30" s="20" t="str">
        <f t="shared" si="4"/>
        <v/>
      </c>
      <c r="Q30" s="20" t="str">
        <f t="shared" si="4"/>
        <v/>
      </c>
      <c r="R30" s="20" t="str">
        <f t="shared" si="4"/>
        <v/>
      </c>
      <c r="S30" s="20" t="str">
        <f t="shared" si="4"/>
        <v/>
      </c>
      <c r="T30" s="20" t="str">
        <f t="shared" si="4"/>
        <v/>
      </c>
      <c r="U30" s="20" t="str">
        <f t="shared" si="4"/>
        <v/>
      </c>
      <c r="V30" s="20" t="str">
        <f t="shared" si="4"/>
        <v/>
      </c>
      <c r="W30" s="20" t="str">
        <f t="shared" si="4"/>
        <v/>
      </c>
      <c r="X30" s="20" t="str">
        <f t="shared" si="4"/>
        <v/>
      </c>
    </row>
    <row r="31" spans="1:24" x14ac:dyDescent="0.25">
      <c r="A31" s="14" t="s">
        <v>116</v>
      </c>
      <c r="B31" s="15">
        <v>3</v>
      </c>
      <c r="C31" s="16" t="s">
        <v>117</v>
      </c>
      <c r="D31" s="16" t="s">
        <v>118</v>
      </c>
      <c r="E31" s="17" t="s">
        <v>16</v>
      </c>
      <c r="F31" s="17">
        <v>54</v>
      </c>
      <c r="G31" s="17">
        <v>5</v>
      </c>
      <c r="H31" s="18">
        <f>Parámetros!$B$3+F31</f>
        <v>46347</v>
      </c>
      <c r="I31" s="18">
        <f t="shared" si="0"/>
        <v>46351</v>
      </c>
      <c r="J31" s="15">
        <f>INT((H31-Parámetros!$B$3)/7)+1</f>
        <v>8</v>
      </c>
      <c r="K31" s="16" t="s">
        <v>112</v>
      </c>
      <c r="L31" s="19">
        <v>0</v>
      </c>
      <c r="M31" s="15" t="str">
        <f t="shared" si="1"/>
        <v>Pendiente</v>
      </c>
      <c r="N31" s="20" t="str">
        <f t="shared" si="4"/>
        <v/>
      </c>
      <c r="O31" s="20" t="str">
        <f t="shared" si="4"/>
        <v/>
      </c>
      <c r="P31" s="20" t="str">
        <f t="shared" si="4"/>
        <v/>
      </c>
      <c r="Q31" s="20" t="str">
        <f t="shared" si="4"/>
        <v/>
      </c>
      <c r="R31" s="20" t="str">
        <f t="shared" si="4"/>
        <v/>
      </c>
      <c r="S31" s="20" t="str">
        <f t="shared" si="4"/>
        <v/>
      </c>
      <c r="T31" s="20" t="str">
        <f t="shared" si="4"/>
        <v/>
      </c>
      <c r="U31" s="20" t="str">
        <f t="shared" si="4"/>
        <v/>
      </c>
      <c r="V31" s="20" t="str">
        <f t="shared" si="4"/>
        <v/>
      </c>
      <c r="W31" s="20" t="str">
        <f t="shared" si="4"/>
        <v/>
      </c>
      <c r="X31" s="20" t="str">
        <f t="shared" si="4"/>
        <v/>
      </c>
    </row>
    <row r="32" spans="1:24" x14ac:dyDescent="0.25">
      <c r="A32" s="14" t="s">
        <v>119</v>
      </c>
      <c r="B32" s="15">
        <v>3</v>
      </c>
      <c r="C32" s="16" t="s">
        <v>120</v>
      </c>
      <c r="D32" s="16" t="s">
        <v>121</v>
      </c>
      <c r="E32" s="17" t="s">
        <v>16</v>
      </c>
      <c r="F32" s="17">
        <v>45</v>
      </c>
      <c r="G32" s="17">
        <v>10</v>
      </c>
      <c r="H32" s="18">
        <f>Parámetros!$B$3+F32</f>
        <v>46338</v>
      </c>
      <c r="I32" s="18">
        <f t="shared" si="0"/>
        <v>46347</v>
      </c>
      <c r="J32" s="15">
        <f>INT((H32-Parámetros!$B$3)/7)+1</f>
        <v>7</v>
      </c>
      <c r="K32" s="16" t="s">
        <v>104</v>
      </c>
      <c r="L32" s="19">
        <v>0</v>
      </c>
      <c r="M32" s="15" t="str">
        <f t="shared" si="1"/>
        <v>Pendiente</v>
      </c>
      <c r="N32" s="20" t="str">
        <f t="shared" si="4"/>
        <v/>
      </c>
      <c r="O32" s="20" t="str">
        <f t="shared" si="4"/>
        <v/>
      </c>
      <c r="P32" s="20" t="str">
        <f t="shared" si="4"/>
        <v/>
      </c>
      <c r="Q32" s="20" t="str">
        <f t="shared" si="4"/>
        <v/>
      </c>
      <c r="R32" s="20" t="str">
        <f t="shared" si="4"/>
        <v/>
      </c>
      <c r="S32" s="20" t="str">
        <f t="shared" si="4"/>
        <v/>
      </c>
      <c r="T32" s="20" t="str">
        <f t="shared" si="4"/>
        <v/>
      </c>
      <c r="U32" s="20" t="str">
        <f t="shared" si="4"/>
        <v/>
      </c>
      <c r="V32" s="20" t="str">
        <f t="shared" si="4"/>
        <v/>
      </c>
      <c r="W32" s="20" t="str">
        <f t="shared" si="4"/>
        <v/>
      </c>
      <c r="X32" s="20" t="str">
        <f t="shared" si="4"/>
        <v/>
      </c>
    </row>
    <row r="33" spans="1:24" x14ac:dyDescent="0.25">
      <c r="A33" s="14" t="s">
        <v>122</v>
      </c>
      <c r="B33" s="15">
        <v>3</v>
      </c>
      <c r="C33" s="16" t="s">
        <v>123</v>
      </c>
      <c r="D33" s="16" t="s">
        <v>123</v>
      </c>
      <c r="E33" s="17" t="s">
        <v>15</v>
      </c>
      <c r="F33" s="17">
        <v>53</v>
      </c>
      <c r="G33" s="17">
        <v>7</v>
      </c>
      <c r="H33" s="18">
        <f>Parámetros!$B$3+F33</f>
        <v>46346</v>
      </c>
      <c r="I33" s="18">
        <f t="shared" si="0"/>
        <v>46352</v>
      </c>
      <c r="J33" s="15">
        <f>INT((H33-Parámetros!$B$3)/7)+1</f>
        <v>8</v>
      </c>
      <c r="K33" s="16" t="s">
        <v>112</v>
      </c>
      <c r="L33" s="19">
        <v>0</v>
      </c>
      <c r="M33" s="15" t="str">
        <f t="shared" si="1"/>
        <v>Pendiente</v>
      </c>
      <c r="N33" s="20" t="str">
        <f t="shared" si="4"/>
        <v/>
      </c>
      <c r="O33" s="20" t="str">
        <f t="shared" si="4"/>
        <v/>
      </c>
      <c r="P33" s="20" t="str">
        <f t="shared" si="4"/>
        <v/>
      </c>
      <c r="Q33" s="20" t="str">
        <f t="shared" si="4"/>
        <v/>
      </c>
      <c r="R33" s="20" t="str">
        <f t="shared" si="4"/>
        <v/>
      </c>
      <c r="S33" s="20" t="str">
        <f t="shared" si="4"/>
        <v/>
      </c>
      <c r="T33" s="20" t="str">
        <f t="shared" si="4"/>
        <v/>
      </c>
      <c r="U33" s="20" t="str">
        <f t="shared" si="4"/>
        <v/>
      </c>
      <c r="V33" s="20" t="str">
        <f t="shared" si="4"/>
        <v/>
      </c>
      <c r="W33" s="20" t="str">
        <f t="shared" si="4"/>
        <v/>
      </c>
      <c r="X33" s="20" t="str">
        <f t="shared" si="4"/>
        <v/>
      </c>
    </row>
    <row r="34" spans="1:24" x14ac:dyDescent="0.25">
      <c r="A34" s="14" t="s">
        <v>124</v>
      </c>
      <c r="B34" s="15">
        <v>3</v>
      </c>
      <c r="C34" s="16" t="s">
        <v>125</v>
      </c>
      <c r="D34" s="16" t="s">
        <v>126</v>
      </c>
      <c r="E34" s="17" t="s">
        <v>15</v>
      </c>
      <c r="F34" s="17">
        <v>58</v>
      </c>
      <c r="G34" s="17">
        <v>4</v>
      </c>
      <c r="H34" s="18">
        <f>Parámetros!$B$3+F34</f>
        <v>46351</v>
      </c>
      <c r="I34" s="18">
        <f t="shared" si="0"/>
        <v>46354</v>
      </c>
      <c r="J34" s="15">
        <f>INT((H34-Parámetros!$B$3)/7)+1</f>
        <v>9</v>
      </c>
      <c r="K34" s="16" t="s">
        <v>122</v>
      </c>
      <c r="L34" s="19">
        <v>0</v>
      </c>
      <c r="M34" s="15" t="str">
        <f t="shared" si="1"/>
        <v>Pendiente</v>
      </c>
      <c r="N34" s="20" t="str">
        <f t="shared" si="4"/>
        <v/>
      </c>
      <c r="O34" s="20" t="str">
        <f t="shared" si="4"/>
        <v/>
      </c>
      <c r="P34" s="20" t="str">
        <f t="shared" si="4"/>
        <v/>
      </c>
      <c r="Q34" s="20" t="str">
        <f t="shared" si="4"/>
        <v/>
      </c>
      <c r="R34" s="20" t="str">
        <f t="shared" si="4"/>
        <v/>
      </c>
      <c r="S34" s="20" t="str">
        <f t="shared" si="4"/>
        <v/>
      </c>
      <c r="T34" s="20" t="str">
        <f t="shared" si="4"/>
        <v/>
      </c>
      <c r="U34" s="20" t="str">
        <f t="shared" si="4"/>
        <v/>
      </c>
      <c r="V34" s="20" t="str">
        <f t="shared" si="4"/>
        <v/>
      </c>
      <c r="W34" s="20" t="str">
        <f t="shared" si="4"/>
        <v/>
      </c>
      <c r="X34" s="20" t="str">
        <f t="shared" si="4"/>
        <v/>
      </c>
    </row>
    <row r="35" spans="1:24" x14ac:dyDescent="0.25">
      <c r="A35" s="14" t="s">
        <v>127</v>
      </c>
      <c r="B35" s="15">
        <v>3</v>
      </c>
      <c r="C35" s="16" t="s">
        <v>128</v>
      </c>
      <c r="D35" s="16" t="s">
        <v>129</v>
      </c>
      <c r="E35" s="17" t="s">
        <v>15</v>
      </c>
      <c r="F35" s="17">
        <v>61</v>
      </c>
      <c r="G35" s="17">
        <v>3</v>
      </c>
      <c r="H35" s="18">
        <f>Parámetros!$B$3+F35</f>
        <v>46354</v>
      </c>
      <c r="I35" s="18">
        <f t="shared" si="0"/>
        <v>46356</v>
      </c>
      <c r="J35" s="15">
        <f>INT((H35-Parámetros!$B$3)/7)+1</f>
        <v>9</v>
      </c>
      <c r="K35" s="16" t="s">
        <v>130</v>
      </c>
      <c r="L35" s="19">
        <v>0</v>
      </c>
      <c r="M35" s="15" t="str">
        <f t="shared" si="1"/>
        <v>Pendiente</v>
      </c>
      <c r="N35" s="20" t="str">
        <f t="shared" si="4"/>
        <v/>
      </c>
      <c r="O35" s="20" t="str">
        <f t="shared" si="4"/>
        <v/>
      </c>
      <c r="P35" s="20" t="str">
        <f t="shared" si="4"/>
        <v/>
      </c>
      <c r="Q35" s="20" t="str">
        <f t="shared" si="4"/>
        <v/>
      </c>
      <c r="R35" s="20" t="str">
        <f t="shared" si="4"/>
        <v/>
      </c>
      <c r="S35" s="20" t="str">
        <f t="shared" si="4"/>
        <v/>
      </c>
      <c r="T35" s="20" t="str">
        <f t="shared" si="4"/>
        <v/>
      </c>
      <c r="U35" s="20" t="str">
        <f t="shared" si="4"/>
        <v/>
      </c>
      <c r="V35" s="20" t="str">
        <f t="shared" si="4"/>
        <v/>
      </c>
      <c r="W35" s="20" t="str">
        <f t="shared" si="4"/>
        <v/>
      </c>
      <c r="X35" s="20" t="str">
        <f t="shared" si="4"/>
        <v/>
      </c>
    </row>
    <row r="36" spans="1:24" x14ac:dyDescent="0.25">
      <c r="A36" s="21" t="s">
        <v>131</v>
      </c>
      <c r="B36" s="15">
        <v>3</v>
      </c>
      <c r="C36" s="22" t="s">
        <v>132</v>
      </c>
      <c r="D36" s="16" t="s">
        <v>73</v>
      </c>
      <c r="E36" s="17" t="s">
        <v>15</v>
      </c>
      <c r="F36" s="15">
        <f>H36-Parámetros!$B$3</f>
        <v>64</v>
      </c>
      <c r="G36" s="15">
        <v>0</v>
      </c>
      <c r="H36" s="23">
        <f>Parámetros!$B$12</f>
        <v>46357</v>
      </c>
      <c r="I36" s="18">
        <f t="shared" si="0"/>
        <v>46357</v>
      </c>
      <c r="J36" s="15">
        <f>INT((H36-Parámetros!$B$3)/7)+1</f>
        <v>10</v>
      </c>
      <c r="K36" s="16" t="s">
        <v>127</v>
      </c>
      <c r="L36" s="19">
        <v>0</v>
      </c>
      <c r="M36" s="15" t="str">
        <f t="shared" si="1"/>
        <v>Pendiente</v>
      </c>
      <c r="N36" s="20" t="str">
        <f t="shared" si="4"/>
        <v/>
      </c>
      <c r="O36" s="20" t="str">
        <f t="shared" si="4"/>
        <v/>
      </c>
      <c r="P36" s="20" t="str">
        <f t="shared" si="4"/>
        <v/>
      </c>
      <c r="Q36" s="20" t="str">
        <f t="shared" si="4"/>
        <v/>
      </c>
      <c r="R36" s="20" t="str">
        <f t="shared" si="4"/>
        <v/>
      </c>
      <c r="S36" s="20" t="str">
        <f t="shared" si="4"/>
        <v/>
      </c>
      <c r="T36" s="20" t="str">
        <f t="shared" si="4"/>
        <v/>
      </c>
      <c r="U36" s="20" t="str">
        <f t="shared" si="4"/>
        <v/>
      </c>
      <c r="V36" s="20" t="str">
        <f t="shared" si="4"/>
        <v/>
      </c>
      <c r="W36" s="20" t="str">
        <f t="shared" si="4"/>
        <v>◆</v>
      </c>
      <c r="X36" s="20" t="str">
        <f t="shared" si="4"/>
        <v/>
      </c>
    </row>
    <row r="38" spans="1:24" x14ac:dyDescent="0.25">
      <c r="C38" s="2" t="s">
        <v>133</v>
      </c>
    </row>
    <row r="39" spans="1:24" x14ac:dyDescent="0.25">
      <c r="B39" s="24"/>
      <c r="C39" s="6" t="s">
        <v>134</v>
      </c>
    </row>
    <row r="40" spans="1:24" x14ac:dyDescent="0.25">
      <c r="B40" s="25"/>
      <c r="C40" s="6" t="s">
        <v>135</v>
      </c>
    </row>
    <row r="41" spans="1:24" x14ac:dyDescent="0.25">
      <c r="B41" s="26"/>
      <c r="C41" s="6" t="s">
        <v>136</v>
      </c>
    </row>
    <row r="42" spans="1:24" x14ac:dyDescent="0.25">
      <c r="B42" s="27" t="s">
        <v>137</v>
      </c>
      <c r="C42" s="6" t="s">
        <v>138</v>
      </c>
    </row>
  </sheetData>
  <conditionalFormatting sqref="M6:M36">
    <cfRule type="expression" dxfId="8" priority="7">
      <formula>$M6="Completada"</formula>
    </cfRule>
    <cfRule type="expression" dxfId="7" priority="8">
      <formula>$M6="En curso"</formula>
    </cfRule>
    <cfRule type="expression" dxfId="6" priority="9">
      <formula>$M6="Atrasada"</formula>
    </cfRule>
  </conditionalFormatting>
  <conditionalFormatting sqref="N4:X4">
    <cfRule type="expression" dxfId="5" priority="6">
      <formula>AND($M$3&gt;=N$4,$M$3&lt;=N$4+6)</formula>
    </cfRule>
  </conditionalFormatting>
  <conditionalFormatting sqref="N6:X36">
    <cfRule type="expression" dxfId="4" priority="2">
      <formula>AND($B6=1,$G6&gt;0,$H6&lt;=N$4+6,$I6&gt;=N$4)</formula>
    </cfRule>
    <cfRule type="expression" dxfId="3" priority="3">
      <formula>AND($B6=2,$G6&gt;0,$H6&lt;=N$4+6,$I6&gt;=N$4)</formula>
    </cfRule>
    <cfRule type="expression" dxfId="2" priority="4">
      <formula>AND($B6=3,$G6&gt;0,$H6&lt;=N$4+6,$I6&gt;=N$4)</formula>
    </cfRule>
    <cfRule type="expression" dxfId="1" priority="5">
      <formula>AND($M$3&gt;=N$4,$M$3&lt;=N$4+6)</formula>
    </cfRule>
  </conditionalFormatting>
  <dataValidations count="2">
    <dataValidation type="whole" operator="greaterThanOrEqual" errorTitle="Días" error="Use un número entero de días (0 o más)." sqref="F6:G15 F17:G25 F27:G35" xr:uid="{00000000-0002-0000-0100-000001000000}">
      <formula1>0</formula1>
      <formula2>0</formula2>
    </dataValidation>
    <dataValidation type="decimal" errorTitle="% avance" error="Use un porcentaje entre 0 % y 100 %." sqref="L6:L36" xr:uid="{00000000-0002-0000-0100-000002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Responsable" error="Elija un nombre de la lista de la hoja Parámetros." xr:uid="{00000000-0002-0000-0100-000000000000}">
          <x14:formula1>
            <xm:f>Parámetros!$A$15:$A$20</xm:f>
          </x14:formula1>
          <x14:formula2>
            <xm:f>0</xm:f>
          </x14:formula2>
          <xm:sqref>E6:E36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6"/>
  <sheetViews>
    <sheetView zoomScaleNormal="100" workbookViewId="0"/>
  </sheetViews>
  <sheetFormatPr baseColWidth="10" defaultColWidth="8.7109375" defaultRowHeight="15" x14ac:dyDescent="0.25"/>
  <cols>
    <col min="1" max="1" width="7" customWidth="1"/>
    <col min="2" max="2" width="46" customWidth="1"/>
    <col min="3" max="5" width="12" customWidth="1"/>
    <col min="6" max="7" width="11" customWidth="1"/>
    <col min="8" max="9" width="12" customWidth="1"/>
    <col min="10" max="10" width="14" customWidth="1"/>
    <col min="11" max="11" width="12" customWidth="1"/>
    <col min="12" max="12" width="16" customWidth="1"/>
  </cols>
  <sheetData>
    <row r="1" spans="1:12" ht="16.5" x14ac:dyDescent="0.25">
      <c r="A1" s="7" t="s">
        <v>139</v>
      </c>
    </row>
    <row r="3" spans="1:12" ht="42" customHeight="1" x14ac:dyDescent="0.25">
      <c r="A3" s="12" t="s">
        <v>27</v>
      </c>
      <c r="B3" s="12" t="s">
        <v>140</v>
      </c>
      <c r="C3" s="12" t="s">
        <v>141</v>
      </c>
      <c r="D3" s="12" t="s">
        <v>142</v>
      </c>
      <c r="E3" s="12" t="s">
        <v>143</v>
      </c>
      <c r="F3" s="12" t="s">
        <v>32</v>
      </c>
      <c r="G3" s="12" t="s">
        <v>144</v>
      </c>
      <c r="H3" s="12" t="s">
        <v>145</v>
      </c>
      <c r="I3" s="12" t="s">
        <v>38</v>
      </c>
      <c r="J3" s="12" t="s">
        <v>146</v>
      </c>
      <c r="K3" s="12" t="s">
        <v>147</v>
      </c>
      <c r="L3" s="12" t="s">
        <v>148</v>
      </c>
    </row>
    <row r="4" spans="1:12" x14ac:dyDescent="0.25">
      <c r="A4" s="15">
        <v>1</v>
      </c>
      <c r="B4" s="16" t="s">
        <v>134</v>
      </c>
      <c r="C4" s="28">
        <v>0.2</v>
      </c>
      <c r="D4" s="18">
        <f>_xlfn.MINIFS(Cronograma!$H$6:$H$36,Cronograma!$B$6:$B$36,A4)</f>
        <v>46293</v>
      </c>
      <c r="E4" s="18">
        <f>_xlfn.MAXIFS(Cronograma!$I$6:$I$36,Cronograma!$B$6:$B$36,A4)</f>
        <v>46314</v>
      </c>
      <c r="F4" s="29">
        <f>E4-D4+1</f>
        <v>22</v>
      </c>
      <c r="G4" s="15">
        <f>COUNTIFS(Cronograma!$B$6:$B$36,A4,Cronograma!$G$6:$G$36,"&gt;0")</f>
        <v>10</v>
      </c>
      <c r="H4" s="30">
        <f>IFERROR(SUMPRODUCT((Cronograma!$B$6:$B$36=A4)*Cronograma!$G$6:$G$36*Cronograma!$L$6:$L$36)/SUMIFS(Cronograma!$G$6:$G$36,Cronograma!$B$6:$B$36,A4),0)</f>
        <v>1</v>
      </c>
      <c r="I4" s="15" t="str">
        <f>IF(H4&gt;=1,"Completada",IF(Parámetros!$B$4&lt;D4,"Pendiente",IF(Parámetros!$B$4&gt;E4,"Atrasada","En curso")))</f>
        <v>Completada</v>
      </c>
      <c r="J4" s="23">
        <f>Parámetros!$B$10</f>
        <v>46314</v>
      </c>
      <c r="K4" s="29">
        <f>J4-Parámetros!$B$4</f>
        <v>0</v>
      </c>
      <c r="L4" s="29">
        <f>J4-_xlfn.MAXIFS(Cronograma!$I$6:$I$36,Cronograma!$B$6:$B$36,A4,Cronograma!$G$6:$G$36,"&gt;0")</f>
        <v>1</v>
      </c>
    </row>
    <row r="5" spans="1:12" x14ac:dyDescent="0.25">
      <c r="A5" s="15">
        <v>2</v>
      </c>
      <c r="B5" s="16" t="s">
        <v>135</v>
      </c>
      <c r="C5" s="28">
        <v>0.1</v>
      </c>
      <c r="D5" s="18">
        <f>_xlfn.MINIFS(Cronograma!$H$6:$H$36,Cronograma!$B$6:$B$36,A5)</f>
        <v>46307</v>
      </c>
      <c r="E5" s="18">
        <f>_xlfn.MAXIFS(Cronograma!$I$6:$I$36,Cronograma!$B$6:$B$36,A5)</f>
        <v>46345</v>
      </c>
      <c r="F5" s="29">
        <f>E5-D5+1</f>
        <v>39</v>
      </c>
      <c r="G5" s="15">
        <f>COUNTIFS(Cronograma!$B$6:$B$36,A5,Cronograma!$G$6:$G$36,"&gt;0")</f>
        <v>9</v>
      </c>
      <c r="H5" s="30">
        <f>IFERROR(SUMPRODUCT((Cronograma!$B$6:$B$36=A5)*Cronograma!$G$6:$G$36*Cronograma!$L$6:$L$36)/SUMIFS(Cronograma!$G$6:$G$36,Cronograma!$B$6:$B$36,A5),0)</f>
        <v>0</v>
      </c>
      <c r="I5" s="15" t="str">
        <f>IF(H5&gt;=1,"Completada",IF(Parámetros!$B$4&lt;D5,"Pendiente",IF(Parámetros!$B$4&gt;E5,"Atrasada","En curso")))</f>
        <v>En curso</v>
      </c>
      <c r="J5" s="23">
        <f>Parámetros!$B$11</f>
        <v>46345</v>
      </c>
      <c r="K5" s="29">
        <f>J5-Parámetros!$B$4</f>
        <v>31</v>
      </c>
      <c r="L5" s="29">
        <f>J5-_xlfn.MAXIFS(Cronograma!$I$6:$I$36,Cronograma!$B$6:$B$36,A5,Cronograma!$G$6:$G$36,"&gt;0")</f>
        <v>1</v>
      </c>
    </row>
    <row r="6" spans="1:12" x14ac:dyDescent="0.25">
      <c r="A6" s="15">
        <v>3</v>
      </c>
      <c r="B6" s="16" t="s">
        <v>136</v>
      </c>
      <c r="C6" s="28">
        <v>0.7</v>
      </c>
      <c r="D6" s="18">
        <f>_xlfn.MINIFS(Cronograma!$H$6:$H$36,Cronograma!$B$6:$B$36,A6)</f>
        <v>46329</v>
      </c>
      <c r="E6" s="18">
        <f>_xlfn.MAXIFS(Cronograma!$I$6:$I$36,Cronograma!$B$6:$B$36,A6)</f>
        <v>46357</v>
      </c>
      <c r="F6" s="29">
        <f>E6-D6+1</f>
        <v>29</v>
      </c>
      <c r="G6" s="15">
        <f>COUNTIFS(Cronograma!$B$6:$B$36,A6,Cronograma!$G$6:$G$36,"&gt;0")</f>
        <v>9</v>
      </c>
      <c r="H6" s="30">
        <f>IFERROR(SUMPRODUCT((Cronograma!$B$6:$B$36=A6)*Cronograma!$G$6:$G$36*Cronograma!$L$6:$L$36)/SUMIFS(Cronograma!$G$6:$G$36,Cronograma!$B$6:$B$36,A6),0)</f>
        <v>0</v>
      </c>
      <c r="I6" s="15" t="str">
        <f>IF(H6&gt;=1,"Completada",IF(Parámetros!$B$4&lt;D6,"Pendiente",IF(Parámetros!$B$4&gt;E6,"Atrasada","En curso")))</f>
        <v>Pendiente</v>
      </c>
      <c r="J6" s="23">
        <f>Parámetros!$B$12</f>
        <v>46357</v>
      </c>
      <c r="K6" s="29">
        <f>J6-Parámetros!$B$4</f>
        <v>43</v>
      </c>
      <c r="L6" s="29">
        <f>J6-_xlfn.MAXIFS(Cronograma!$I$6:$I$36,Cronograma!$B$6:$B$36,A6,Cronograma!$G$6:$G$36,"&gt;0")</f>
        <v>1</v>
      </c>
    </row>
    <row r="7" spans="1:12" x14ac:dyDescent="0.25">
      <c r="B7" s="22" t="s">
        <v>149</v>
      </c>
      <c r="C7" s="31">
        <f>SUM(C4:C6)</f>
        <v>1</v>
      </c>
      <c r="D7" s="32">
        <f>MIN(D4:D6)</f>
        <v>46293</v>
      </c>
      <c r="E7" s="32">
        <f>MAX(E4:E6)</f>
        <v>46357</v>
      </c>
      <c r="F7" s="33">
        <f>E7-D7+1</f>
        <v>65</v>
      </c>
      <c r="G7" s="34">
        <f>SUM(G4:G6)</f>
        <v>28</v>
      </c>
      <c r="H7" s="31">
        <f>IFERROR(SUMPRODUCT(Cronograma!$G$6:$G$36,Cronograma!$L$6:$L$36)/SUM(Cronograma!$G$6:$G$36),0)</f>
        <v>0.25595238095238093</v>
      </c>
    </row>
    <row r="8" spans="1:12" x14ac:dyDescent="0.25">
      <c r="B8" s="2" t="s">
        <v>150</v>
      </c>
      <c r="H8" s="35">
        <f>SUMPRODUCT(C4:C6,H4:H6)</f>
        <v>0.2</v>
      </c>
    </row>
    <row r="10" spans="1:12" x14ac:dyDescent="0.25">
      <c r="B10" s="2" t="s">
        <v>151</v>
      </c>
    </row>
    <row r="11" spans="1:12" x14ac:dyDescent="0.25">
      <c r="B11" s="6" t="s">
        <v>152</v>
      </c>
      <c r="C11" s="6">
        <f>COUNTIF(Cronograma!$M$6:$M$36,B11)</f>
        <v>11</v>
      </c>
    </row>
    <row r="12" spans="1:12" x14ac:dyDescent="0.25">
      <c r="B12" s="6" t="s">
        <v>153</v>
      </c>
      <c r="C12" s="6">
        <f>COUNTIF(Cronograma!$M$6:$M$36,B12)</f>
        <v>2</v>
      </c>
    </row>
    <row r="13" spans="1:12" x14ac:dyDescent="0.25">
      <c r="B13" s="6" t="s">
        <v>154</v>
      </c>
      <c r="C13" s="6">
        <f>COUNTIF(Cronograma!$M$6:$M$36,B13)</f>
        <v>17</v>
      </c>
    </row>
    <row r="14" spans="1:12" x14ac:dyDescent="0.25">
      <c r="B14" s="6" t="s">
        <v>155</v>
      </c>
      <c r="C14" s="6">
        <f>COUNTIF(Cronograma!$M$6:$M$36,B14)</f>
        <v>1</v>
      </c>
    </row>
    <row r="16" spans="1:12" x14ac:dyDescent="0.25">
      <c r="B16" s="6" t="s">
        <v>156</v>
      </c>
      <c r="C16" s="2">
        <f>SUM(C11:C14)</f>
        <v>31</v>
      </c>
    </row>
  </sheetData>
  <conditionalFormatting sqref="L4:L6">
    <cfRule type="expression" dxfId="0" priority="2">
      <formula>$L4&lt;1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Parámetros</vt:lpstr>
      <vt:lpstr>Cronograma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Wilson Ospina Perez</cp:lastModifiedBy>
  <cp:revision>0</cp:revision>
  <dcterms:created xsi:type="dcterms:W3CDTF">2026-10-10T03:41:19Z</dcterms:created>
  <dcterms:modified xsi:type="dcterms:W3CDTF">2026-10-18T22:16:49Z</dcterms:modified>
  <dc:language>en-US</dc:language>
</cp:coreProperties>
</file>