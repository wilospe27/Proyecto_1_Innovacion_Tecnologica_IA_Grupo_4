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ámetros" sheetId="1" state="visible" r:id="rId3"/>
    <sheet name="Cronograma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Supuesto: lunes 28/09/2026. Ajústelo al calendario real del curso; todas las fechas del cronograma se recalculan desde esta celda.</t>
        </r>
      </text>
    </comment>
    <comment ref="B4" authorId="0">
      <text>
        <r>
          <rPr>
            <sz val="10"/>
            <rFont val="Arial"/>
            <family val="2"/>
          </rPr>
          <t xml:space="preserve">Por defecto es la fecha de hoy (=TODAY()). Escriba una fecha fija si quiere congelar el estado de las tareas a un corte específico.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Fuente: documento 'Porcentajes de Evaluación' del curso (20 % / 10 % / 70 %).</t>
        </r>
      </text>
    </comment>
    <comment ref="C5" authorId="0">
      <text>
        <r>
          <rPr>
            <sz val="10"/>
            <rFont val="Arial"/>
            <family val="2"/>
          </rPr>
          <t xml:space="preserve">Fuente: documento 'Porcentajes de Evaluación' del curso (20 % / 10 % / 70 %).</t>
        </r>
      </text>
    </comment>
    <comment ref="C6" authorId="0">
      <text>
        <r>
          <rPr>
            <sz val="10"/>
            <rFont val="Arial"/>
            <family val="2"/>
          </rPr>
          <t xml:space="preserve">Fuente: documento 'Porcentajes de Evaluación' del curso (20 % / 10 % / 70 %).</t>
        </r>
      </text>
    </comment>
  </commentList>
</comments>
</file>

<file path=xl/sharedStrings.xml><?xml version="1.0" encoding="utf-8"?>
<sst xmlns="http://schemas.openxmlformats.org/spreadsheetml/2006/main" count="204" uniqueCount="143">
  <si>
    <t xml:space="preserve">Cronograma del proyecto — Identificación de especies por su canto (Grupo 4)</t>
  </si>
  <si>
    <t xml:space="preserve">Fecha de inicio del proyecto</t>
  </si>
  <si>
    <t xml:space="preserve">Fecha de corte (seguimiento)</t>
  </si>
  <si>
    <t xml:space="preserve">Fecha de la última actividad</t>
  </si>
  <si>
    <t xml:space="preserve">Duración total del proyecto (días)</t>
  </si>
  <si>
    <t xml:space="preserve">Semana actual del proyecto</t>
  </si>
  <si>
    <t xml:space="preserve">Equipo (lista para la columna Responsable)</t>
  </si>
  <si>
    <t xml:space="preserve">Wilson Ospina Pérez</t>
  </si>
  <si>
    <t xml:space="preserve">Santiago Osorio</t>
  </si>
  <si>
    <t xml:space="preserve">Martín Pérez</t>
  </si>
  <si>
    <t xml:space="preserve">Adriana Zapata</t>
  </si>
  <si>
    <t xml:space="preserve">Todo el equipo</t>
  </si>
  <si>
    <t xml:space="preserve">Por asignar</t>
  </si>
  <si>
    <t xml:space="preserve">Cómo usar este archivo</t>
  </si>
  <si>
    <t xml:space="preserve">1. Celdas con fondo amarillo y texto azul = datos de entrada: fecha de inicio, desfase, duración, responsable y % de avance.</t>
  </si>
  <si>
    <t xml:space="preserve">2. Las demás celdas se calculan con fórmulas: fechas, semana, estado, resumen por etapa y diagrama de Gantt.</t>
  </si>
  <si>
    <t xml:space="preserve">3. Desfase = días desde la fecha de inicio hasta que empieza la actividad. Duración = días calendario (0 = hito).</t>
  </si>
  <si>
    <t xml:space="preserve">4. Estado: Completada (100 %), Pendiente (aún no inicia), En curso o Atrasada (pasó la fecha fin sin llegar al 100 %).</t>
  </si>
  <si>
    <t xml:space="preserve">5. Actualice el % de avance cada semana. Las fechas son tentativas hasta confirmar el calendario del curso.</t>
  </si>
  <si>
    <t xml:space="preserve">Plan de actividades y cronograma — Proyecto 1 · Innovación Tecnológica con IA · Grupo 4</t>
  </si>
  <si>
    <t xml:space="preserve">Fechas calculadas desde la hoja Parámetros. Celdas amarillas = datos editables.</t>
  </si>
  <si>
    <t xml:space="preserve">Fecha de corte:</t>
  </si>
  <si>
    <t xml:space="preserve">ID</t>
  </si>
  <si>
    <t xml:space="preserve">Etapa</t>
  </si>
  <si>
    <t xml:space="preserve">Actividad</t>
  </si>
  <si>
    <t xml:space="preserve">Entregable</t>
  </si>
  <si>
    <t xml:space="preserve">Responsable</t>
  </si>
  <si>
    <t xml:space="preserve">Desfase (días)</t>
  </si>
  <si>
    <t xml:space="preserve">Duración (días)</t>
  </si>
  <si>
    <t xml:space="preserve">Fecha inicio</t>
  </si>
  <si>
    <t xml:space="preserve">Fecha fin</t>
  </si>
  <si>
    <t xml:space="preserve">Semana</t>
  </si>
  <si>
    <t xml:space="preserve">Predecesora</t>
  </si>
  <si>
    <t xml:space="preserve">% avance</t>
  </si>
  <si>
    <t xml:space="preserve">Estado</t>
  </si>
  <si>
    <t xml:space="preserve">1.1</t>
  </si>
  <si>
    <t xml:space="preserve">Conformación del equipo y definición del tema</t>
  </si>
  <si>
    <t xml:space="preserve">Tema y repositorio creados</t>
  </si>
  <si>
    <t xml:space="preserve">—</t>
  </si>
  <si>
    <t xml:space="preserve">1.2</t>
  </si>
  <si>
    <t xml:space="preserve">Análisis del problema y árbol de problemas</t>
  </si>
  <si>
    <t xml:space="preserve">Secciones II y IV del reporte</t>
  </si>
  <si>
    <t xml:space="preserve">1.3</t>
  </si>
  <si>
    <t xml:space="preserve">Objetivos, alcance y pregunta de investigación</t>
  </si>
  <si>
    <t xml:space="preserve">Sección III del reporte</t>
  </si>
  <si>
    <t xml:space="preserve">1.4</t>
  </si>
  <si>
    <t xml:space="preserve">Revisión bibliográfica (estado del arte)</t>
  </si>
  <si>
    <t xml:space="preserve">Sección V.B y referencias</t>
  </si>
  <si>
    <t xml:space="preserve">1.5</t>
  </si>
  <si>
    <t xml:space="preserve">Análisis de soluciones existentes y brecha</t>
  </si>
  <si>
    <t xml:space="preserve">Secciones V.C a V.E</t>
  </si>
  <si>
    <t xml:space="preserve">1.6</t>
  </si>
  <si>
    <t xml:space="preserve">Planeación: tareas, cronograma y riesgos</t>
  </si>
  <si>
    <t xml:space="preserve">Sección VII y cronograma.xlsx</t>
  </si>
  <si>
    <t xml:space="preserve">1.7</t>
  </si>
  <si>
    <t xml:space="preserve">Estructura del repositorio y entorno de trabajo</t>
  </si>
  <si>
    <t xml:space="preserve">Carpeta entrega_1 en GitHub</t>
  </si>
  <si>
    <t xml:space="preserve">1.8</t>
  </si>
  <si>
    <t xml:space="preserve">Redacción y revisión del reporte 1</t>
  </si>
  <si>
    <t xml:space="preserve">docs/reporte_entrega_1.md</t>
  </si>
  <si>
    <t xml:space="preserve">1.3, 1.5, 1.6</t>
  </si>
  <si>
    <t xml:space="preserve">H1</t>
  </si>
  <si>
    <t xml:space="preserve">Entrega 1: reporte de la primera etapa (20 %)</t>
  </si>
  <si>
    <t xml:space="preserve">Hito</t>
  </si>
  <si>
    <t xml:space="preserve">2.1</t>
  </si>
  <si>
    <t xml:space="preserve">Selección de especies objetivo y criterios de inclusión</t>
  </si>
  <si>
    <t xml:space="preserve">Lista de especies</t>
  </si>
  <si>
    <t xml:space="preserve">2.2</t>
  </si>
  <si>
    <t xml:space="preserve">Clave de API y descarga de grabaciones y metadatos</t>
  </si>
  <si>
    <t xml:space="preserve">data/raw y metadatos</t>
  </si>
  <si>
    <t xml:space="preserve">2.3</t>
  </si>
  <si>
    <t xml:space="preserve">Depuración y control de calidad de los datos</t>
  </si>
  <si>
    <t xml:space="preserve">Conjunto depurado</t>
  </si>
  <si>
    <t xml:space="preserve">2.4</t>
  </si>
  <si>
    <t xml:space="preserve">Análisis exploratorio de datos (EDA)</t>
  </si>
  <si>
    <t xml:space="preserve">Notebook de EDA</t>
  </si>
  <si>
    <t xml:space="preserve">2.5</t>
  </si>
  <si>
    <t xml:space="preserve">Preprocesamiento: ventanas y espectrogramas Mel</t>
  </si>
  <si>
    <t xml:space="preserve">data/processed + índice</t>
  </si>
  <si>
    <t xml:space="preserve">2.6</t>
  </si>
  <si>
    <t xml:space="preserve">Hipótesis y diseño experimental</t>
  </si>
  <si>
    <t xml:space="preserve">Sección de hipótesis</t>
  </si>
  <si>
    <t xml:space="preserve">2.7</t>
  </si>
  <si>
    <t xml:space="preserve">Modelos de referencia y CNN base</t>
  </si>
  <si>
    <t xml:space="preserve">Primeras métricas</t>
  </si>
  <si>
    <t xml:space="preserve">2.8</t>
  </si>
  <si>
    <t xml:space="preserve">Redacción del reporte 2</t>
  </si>
  <si>
    <t xml:space="preserve">Reporte de la segunda etapa</t>
  </si>
  <si>
    <t xml:space="preserve">2.6, 2.7</t>
  </si>
  <si>
    <t xml:space="preserve">H2</t>
  </si>
  <si>
    <t xml:space="preserve">Entrega 2: reporte de la segunda etapa (10 %)</t>
  </si>
  <si>
    <t xml:space="preserve">3.1</t>
  </si>
  <si>
    <t xml:space="preserve">Transferencia de aprendizaje con EfficientNet-B0</t>
  </si>
  <si>
    <t xml:space="preserve">Modelo entrenado</t>
  </si>
  <si>
    <t xml:space="preserve">3.2</t>
  </si>
  <si>
    <t xml:space="preserve">Embeddings bioacústicos (BirdNET o Perch) + clasificador</t>
  </si>
  <si>
    <t xml:space="preserve">3.3</t>
  </si>
  <si>
    <t xml:space="preserve">Ajuste de hiperparámetros y aumentación de datos</t>
  </si>
  <si>
    <t xml:space="preserve">Mejor configuración</t>
  </si>
  <si>
    <t xml:space="preserve">3.4</t>
  </si>
  <si>
    <t xml:space="preserve">Evaluación comparativa y análisis de errores</t>
  </si>
  <si>
    <t xml:space="preserve">Tablas y figuras de resultados</t>
  </si>
  <si>
    <t xml:space="preserve">3.2, 3.3</t>
  </si>
  <si>
    <t xml:space="preserve">3.5</t>
  </si>
  <si>
    <t xml:space="preserve">Validación con expertos</t>
  </si>
  <si>
    <t xml:space="preserve">Muestra revisada por expertos</t>
  </si>
  <si>
    <t xml:space="preserve">3.6</t>
  </si>
  <si>
    <t xml:space="preserve">Prototipo de interfaz (Streamlit o Gradio)</t>
  </si>
  <si>
    <t xml:space="preserve">Aplicación de demostración</t>
  </si>
  <si>
    <t xml:space="preserve">3.7</t>
  </si>
  <si>
    <t xml:space="preserve">Reporte final</t>
  </si>
  <si>
    <t xml:space="preserve">3.8</t>
  </si>
  <si>
    <t xml:space="preserve">Video de 10 minutos</t>
  </si>
  <si>
    <t xml:space="preserve">Video</t>
  </si>
  <si>
    <t xml:space="preserve">3.9</t>
  </si>
  <si>
    <t xml:space="preserve">Revisión final y publicación en el repositorio</t>
  </si>
  <si>
    <t xml:space="preserve">Repositorio final</t>
  </si>
  <si>
    <t xml:space="preserve">3.7, 3.8</t>
  </si>
  <si>
    <t xml:space="preserve">H3</t>
  </si>
  <si>
    <t xml:space="preserve">Entrega 3: reporte final y video (70 %)</t>
  </si>
  <si>
    <t xml:space="preserve">Leyenda del Gantt:</t>
  </si>
  <si>
    <t xml:space="preserve">Etapa 1 · Planteamiento del problema</t>
  </si>
  <si>
    <t xml:space="preserve">Etapa 2 · Datos y modelos de referencia</t>
  </si>
  <si>
    <t xml:space="preserve">Etapa 3 · Modelado, evaluación y comunicación</t>
  </si>
  <si>
    <t xml:space="preserve">◆</t>
  </si>
  <si>
    <t xml:space="preserve">Hito de entrega · columna gris = semana de la fecha de corte</t>
  </si>
  <si>
    <t xml:space="preserve">Resumen por etapa (calculado desde la hoja Cronograma)</t>
  </si>
  <si>
    <t xml:space="preserve">Nombre</t>
  </si>
  <si>
    <t xml:space="preserve">Peso en la nota</t>
  </si>
  <si>
    <t xml:space="preserve">Inicio</t>
  </si>
  <si>
    <t xml:space="preserve">Fin</t>
  </si>
  <si>
    <t xml:space="preserve">Actividades</t>
  </si>
  <si>
    <t xml:space="preserve">Avance ponderado</t>
  </si>
  <si>
    <t xml:space="preserve">Fecha de entrega</t>
  </si>
  <si>
    <t xml:space="preserve">Días para la entrega</t>
  </si>
  <si>
    <t xml:space="preserve">Total del proyecto</t>
  </si>
  <si>
    <t xml:space="preserve">Avance ponderado por peso en la nota</t>
  </si>
  <si>
    <t xml:space="preserve">Actividades por estado</t>
  </si>
  <si>
    <t xml:space="preserve">Completada</t>
  </si>
  <si>
    <t xml:space="preserve">En curso</t>
  </si>
  <si>
    <t xml:space="preserve">Pendiente</t>
  </si>
  <si>
    <t xml:space="preserve">Atrasada</t>
  </si>
  <si>
    <t xml:space="preserve">Total de filas (incluye hitos)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</si>
</sst>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dd/mm"/>
    <numFmt numFmtId="168" formatCode="\S0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3"/>
      <color rgb="FF1B433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1121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E8A3"/>
      </patternFill>
    </fill>
    <fill>
      <patternFill patternType="solid">
        <fgColor rgb="FF1B4332"/>
        <bgColor rgb="FF333300"/>
      </patternFill>
    </fill>
    <fill>
      <patternFill patternType="solid">
        <fgColor rgb="FFE9C46A"/>
        <bgColor rgb="FFF8C4C4"/>
      </patternFill>
    </fill>
    <fill>
      <patternFill patternType="solid">
        <fgColor rgb="FF2A9D8F"/>
        <bgColor rgb="FF008080"/>
      </patternFill>
    </fill>
    <fill>
      <patternFill patternType="solid">
        <fgColor rgb="FF8E7DBE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E9C46A"/>
        </patternFill>
      </fill>
    </dxf>
    <dxf>
      <fill>
        <patternFill>
          <bgColor rgb="FF2A9D8F"/>
        </patternFill>
      </fill>
    </dxf>
    <dxf>
      <fill>
        <patternFill>
          <bgColor rgb="FF8E7DBE"/>
        </patternFill>
      </fill>
    </dxf>
    <dxf>
      <fill>
        <patternFill>
          <bgColor rgb="FFEDEDED"/>
        </patternFill>
      </fill>
    </dxf>
    <dxf>
      <font>
        <b val="1"/>
        <color rgb="FFC1121F"/>
      </font>
    </dxf>
    <dxf>
      <fill>
        <patternFill>
          <bgColor rgb="FFC7E9C0"/>
        </patternFill>
      </fill>
    </dxf>
    <dxf>
      <fill>
        <patternFill>
          <bgColor rgb="FFFFE8A3"/>
        </patternFill>
      </fill>
    </dxf>
    <dxf>
      <fill>
        <patternFill>
          <bgColor rgb="FFF8C4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E7DBE"/>
      <rgbColor rgb="FF9999FF"/>
      <rgbColor rgb="FF993366"/>
      <rgbColor rgb="FFFFF9C4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7E9C0"/>
      <rgbColor rgb="FFFFE8A3"/>
      <rgbColor rgb="FF99CCFF"/>
      <rgbColor rgb="FFFF99CC"/>
      <rgbColor rgb="FFCC99FF"/>
      <rgbColor rgb="FFF8C4C4"/>
      <rgbColor rgb="FF3366FF"/>
      <rgbColor rgb="FF33CCCC"/>
      <rgbColor rgb="FF99CC00"/>
      <rgbColor rgb="FFE9C46A"/>
      <rgbColor rgb="FFFF9900"/>
      <rgbColor rgb="FFFF6600"/>
      <rgbColor rgb="FF595959"/>
      <rgbColor rgb="FF969696"/>
      <rgbColor rgb="FF003366"/>
      <rgbColor rgb="FF2A9D8F"/>
      <rgbColor rgb="FF003300"/>
      <rgbColor rgb="FF333300"/>
      <rgbColor rgb="FFC1121F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46293</v>
      </c>
    </row>
    <row r="4" customFormat="false" ht="15" hidden="false" customHeight="false" outlineLevel="0" collapsed="false">
      <c r="A4" s="2" t="s">
        <v>2</v>
      </c>
      <c r="B4" s="4" t="n">
        <f aca="true">TODAY()</f>
        <v>46304</v>
      </c>
    </row>
    <row r="5" customFormat="false" ht="15" hidden="false" customHeight="false" outlineLevel="0" collapsed="false">
      <c r="A5" s="2" t="s">
        <v>3</v>
      </c>
      <c r="B5" s="4" t="n">
        <f aca="false">MAX(Cronograma!$I$6:$I$33)</f>
        <v>46369</v>
      </c>
    </row>
    <row r="6" customFormat="false" ht="15" hidden="false" customHeight="false" outlineLevel="0" collapsed="false">
      <c r="A6" s="2" t="s">
        <v>4</v>
      </c>
      <c r="B6" s="5" t="n">
        <f aca="false">B5-B3+1</f>
        <v>77</v>
      </c>
    </row>
    <row r="7" customFormat="false" ht="15" hidden="false" customHeight="false" outlineLevel="0" collapsed="false">
      <c r="A7" s="2" t="s">
        <v>5</v>
      </c>
      <c r="B7" s="5" t="n">
        <f aca="false">IF(B4&lt;B3,0,INT((B4-B3)/7)+1)</f>
        <v>2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6" t="s">
        <v>11</v>
      </c>
    </row>
    <row r="15" customFormat="false" ht="15" hidden="false" customHeight="false" outlineLevel="0" collapsed="false">
      <c r="A15" s="6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6" t="s">
        <v>14</v>
      </c>
    </row>
    <row r="20" customFormat="false" ht="15" hidden="false" customHeight="false" outlineLevel="0" collapsed="false">
      <c r="A20" s="6" t="s">
        <v>15</v>
      </c>
    </row>
    <row r="21" customFormat="false" ht="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6" t="s">
        <v>17</v>
      </c>
    </row>
    <row r="23" customFormat="false" ht="15" hidden="false" customHeight="false" outlineLevel="0" collapsed="false">
      <c r="A23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7" min="6" style="0" width="9"/>
    <col collapsed="false" customWidth="true" hidden="false" outlineLevel="0" max="9" min="8" style="0" width="12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25" min="14" style="0" width="6.51"/>
  </cols>
  <sheetData>
    <row r="1" customFormat="false" ht="16.15" hidden="false" customHeight="false" outlineLevel="0" collapsed="false">
      <c r="A1" s="7" t="s">
        <v>19</v>
      </c>
    </row>
    <row r="2" customFormat="false" ht="15" hidden="false" customHeight="false" outlineLevel="0" collapsed="false">
      <c r="A2" s="8" t="s">
        <v>20</v>
      </c>
    </row>
    <row r="3" customFormat="false" ht="15" hidden="false" customHeight="false" outlineLevel="0" collapsed="false">
      <c r="L3" s="9" t="s">
        <v>21</v>
      </c>
      <c r="M3" s="10" t="n">
        <f aca="false">Parámetros!$B$4</f>
        <v>46304</v>
      </c>
    </row>
    <row r="4" customFormat="false" ht="15" hidden="false" customHeight="false" outlineLevel="0" collapsed="false">
      <c r="N4" s="11" t="n">
        <f aca="false">Parámetros!$B$3+7*(N$5-1)</f>
        <v>46293</v>
      </c>
      <c r="O4" s="11" t="n">
        <f aca="false">Parámetros!$B$3+7*(O$5-1)</f>
        <v>46300</v>
      </c>
      <c r="P4" s="11" t="n">
        <f aca="false">Parámetros!$B$3+7*(P$5-1)</f>
        <v>46307</v>
      </c>
      <c r="Q4" s="11" t="n">
        <f aca="false">Parámetros!$B$3+7*(Q$5-1)</f>
        <v>46314</v>
      </c>
      <c r="R4" s="11" t="n">
        <f aca="false">Parámetros!$B$3+7*(R$5-1)</f>
        <v>46321</v>
      </c>
      <c r="S4" s="11" t="n">
        <f aca="false">Parámetros!$B$3+7*(S$5-1)</f>
        <v>46328</v>
      </c>
      <c r="T4" s="11" t="n">
        <f aca="false">Parámetros!$B$3+7*(T$5-1)</f>
        <v>46335</v>
      </c>
      <c r="U4" s="11" t="n">
        <f aca="false">Parámetros!$B$3+7*(U$5-1)</f>
        <v>46342</v>
      </c>
      <c r="V4" s="11" t="n">
        <f aca="false">Parámetros!$B$3+7*(V$5-1)</f>
        <v>46349</v>
      </c>
      <c r="W4" s="11" t="n">
        <f aca="false">Parámetros!$B$3+7*(W$5-1)</f>
        <v>46356</v>
      </c>
      <c r="X4" s="11" t="n">
        <f aca="false">Parámetros!$B$3+7*(X$5-1)</f>
        <v>46363</v>
      </c>
      <c r="Y4" s="11" t="n">
        <f aca="false">Parámetros!$B$3+7*(Y$5-1)</f>
        <v>46370</v>
      </c>
    </row>
    <row r="5" customFormat="false" ht="30" hidden="false" customHeight="true" outlineLevel="0" collapsed="false">
      <c r="A5" s="12" t="s">
        <v>22</v>
      </c>
      <c r="B5" s="12" t="s">
        <v>23</v>
      </c>
      <c r="C5" s="12" t="s">
        <v>24</v>
      </c>
      <c r="D5" s="12" t="s">
        <v>25</v>
      </c>
      <c r="E5" s="12" t="s">
        <v>26</v>
      </c>
      <c r="F5" s="12" t="s">
        <v>27</v>
      </c>
      <c r="G5" s="12" t="s">
        <v>28</v>
      </c>
      <c r="H5" s="12" t="s">
        <v>29</v>
      </c>
      <c r="I5" s="12" t="s">
        <v>30</v>
      </c>
      <c r="J5" s="12" t="s">
        <v>31</v>
      </c>
      <c r="K5" s="12" t="s">
        <v>32</v>
      </c>
      <c r="L5" s="12" t="s">
        <v>33</v>
      </c>
      <c r="M5" s="12" t="s">
        <v>34</v>
      </c>
      <c r="N5" s="13" t="n">
        <v>1</v>
      </c>
      <c r="O5" s="13" t="n">
        <v>2</v>
      </c>
      <c r="P5" s="13" t="n">
        <v>3</v>
      </c>
      <c r="Q5" s="13" t="n">
        <v>4</v>
      </c>
      <c r="R5" s="13" t="n">
        <v>5</v>
      </c>
      <c r="S5" s="13" t="n">
        <v>6</v>
      </c>
      <c r="T5" s="13" t="n">
        <v>7</v>
      </c>
      <c r="U5" s="13" t="n">
        <v>8</v>
      </c>
      <c r="V5" s="13" t="n">
        <v>9</v>
      </c>
      <c r="W5" s="13" t="n">
        <v>10</v>
      </c>
      <c r="X5" s="13" t="n">
        <v>11</v>
      </c>
      <c r="Y5" s="13" t="n">
        <v>12</v>
      </c>
    </row>
    <row r="6" customFormat="false" ht="15" hidden="false" customHeight="false" outlineLevel="0" collapsed="false">
      <c r="A6" s="14" t="s">
        <v>35</v>
      </c>
      <c r="B6" s="14" t="n">
        <v>1</v>
      </c>
      <c r="C6" s="15" t="s">
        <v>36</v>
      </c>
      <c r="D6" s="15" t="s">
        <v>37</v>
      </c>
      <c r="E6" s="16" t="s">
        <v>11</v>
      </c>
      <c r="F6" s="16" t="n">
        <v>0</v>
      </c>
      <c r="G6" s="16" t="n">
        <v>3</v>
      </c>
      <c r="H6" s="17" t="n">
        <f aca="false">Parámetros!$B$3+F6</f>
        <v>46293</v>
      </c>
      <c r="I6" s="17" t="n">
        <f aca="false">IF(G6=0,H6,H6+G6-1)</f>
        <v>46295</v>
      </c>
      <c r="J6" s="14" t="n">
        <f aca="false">INT((H6-Parámetros!$B$3)/7)+1</f>
        <v>1</v>
      </c>
      <c r="K6" s="15" t="s">
        <v>38</v>
      </c>
      <c r="L6" s="18" t="n">
        <v>1</v>
      </c>
      <c r="M6" s="14" t="str">
        <f aca="false">IF(L6&gt;=1,"Completada",IF($M$3&lt;H6,"Pendiente",IF($M$3&gt;I6,"Atrasada","En curso")))</f>
        <v>Completada</v>
      </c>
      <c r="N6" s="19" t="str">
        <f aca="false">IF(AND($G6=0,$H6&gt;=N$4,$H6&lt;=N$4+6),"◆","")</f>
        <v/>
      </c>
      <c r="O6" s="19" t="str">
        <f aca="false">IF(AND($G6=0,$H6&gt;=O$4,$H6&lt;=O$4+6),"◆","")</f>
        <v/>
      </c>
      <c r="P6" s="19" t="str">
        <f aca="false">IF(AND($G6=0,$H6&gt;=P$4,$H6&lt;=P$4+6),"◆","")</f>
        <v/>
      </c>
      <c r="Q6" s="19" t="str">
        <f aca="false">IF(AND($G6=0,$H6&gt;=Q$4,$H6&lt;=Q$4+6),"◆","")</f>
        <v/>
      </c>
      <c r="R6" s="19" t="str">
        <f aca="false">IF(AND($G6=0,$H6&gt;=R$4,$H6&lt;=R$4+6),"◆","")</f>
        <v/>
      </c>
      <c r="S6" s="19" t="str">
        <f aca="false">IF(AND($G6=0,$H6&gt;=S$4,$H6&lt;=S$4+6),"◆","")</f>
        <v/>
      </c>
      <c r="T6" s="19" t="str">
        <f aca="false">IF(AND($G6=0,$H6&gt;=T$4,$H6&lt;=T$4+6),"◆","")</f>
        <v/>
      </c>
      <c r="U6" s="19" t="str">
        <f aca="false">IF(AND($G6=0,$H6&gt;=U$4,$H6&lt;=U$4+6),"◆","")</f>
        <v/>
      </c>
      <c r="V6" s="19" t="str">
        <f aca="false">IF(AND($G6=0,$H6&gt;=V$4,$H6&lt;=V$4+6),"◆","")</f>
        <v/>
      </c>
      <c r="W6" s="19" t="str">
        <f aca="false">IF(AND($G6=0,$H6&gt;=W$4,$H6&lt;=W$4+6),"◆","")</f>
        <v/>
      </c>
      <c r="X6" s="19" t="str">
        <f aca="false">IF(AND($G6=0,$H6&gt;=X$4,$H6&lt;=X$4+6),"◆","")</f>
        <v/>
      </c>
      <c r="Y6" s="19" t="str">
        <f aca="false">IF(AND($G6=0,$H6&gt;=Y$4,$H6&lt;=Y$4+6),"◆","")</f>
        <v/>
      </c>
    </row>
    <row r="7" customFormat="false" ht="15" hidden="false" customHeight="false" outlineLevel="0" collapsed="false">
      <c r="A7" s="14" t="s">
        <v>39</v>
      </c>
      <c r="B7" s="14" t="n">
        <v>1</v>
      </c>
      <c r="C7" s="15" t="s">
        <v>40</v>
      </c>
      <c r="D7" s="15" t="s">
        <v>41</v>
      </c>
      <c r="E7" s="16" t="s">
        <v>11</v>
      </c>
      <c r="F7" s="16" t="n">
        <v>2</v>
      </c>
      <c r="G7" s="16" t="n">
        <v>6</v>
      </c>
      <c r="H7" s="17" t="n">
        <f aca="false">Parámetros!$B$3+F7</f>
        <v>46295</v>
      </c>
      <c r="I7" s="17" t="n">
        <f aca="false">IF(G7=0,H7,H7+G7-1)</f>
        <v>46300</v>
      </c>
      <c r="J7" s="14" t="n">
        <f aca="false">INT((H7-Parámetros!$B$3)/7)+1</f>
        <v>1</v>
      </c>
      <c r="K7" s="15" t="s">
        <v>35</v>
      </c>
      <c r="L7" s="18" t="n">
        <v>1</v>
      </c>
      <c r="M7" s="14" t="str">
        <f aca="false">IF(L7&gt;=1,"Completada",IF($M$3&lt;H7,"Pendiente",IF($M$3&gt;I7,"Atrasada","En curso")))</f>
        <v>Completada</v>
      </c>
      <c r="N7" s="19" t="str">
        <f aca="false">IF(AND($G7=0,$H7&gt;=N$4,$H7&lt;=N$4+6),"◆","")</f>
        <v/>
      </c>
      <c r="O7" s="19" t="str">
        <f aca="false">IF(AND($G7=0,$H7&gt;=O$4,$H7&lt;=O$4+6),"◆","")</f>
        <v/>
      </c>
      <c r="P7" s="19" t="str">
        <f aca="false">IF(AND($G7=0,$H7&gt;=P$4,$H7&lt;=P$4+6),"◆","")</f>
        <v/>
      </c>
      <c r="Q7" s="19" t="str">
        <f aca="false">IF(AND($G7=0,$H7&gt;=Q$4,$H7&lt;=Q$4+6),"◆","")</f>
        <v/>
      </c>
      <c r="R7" s="19" t="str">
        <f aca="false">IF(AND($G7=0,$H7&gt;=R$4,$H7&lt;=R$4+6),"◆","")</f>
        <v/>
      </c>
      <c r="S7" s="19" t="str">
        <f aca="false">IF(AND($G7=0,$H7&gt;=S$4,$H7&lt;=S$4+6),"◆","")</f>
        <v/>
      </c>
      <c r="T7" s="19" t="str">
        <f aca="false">IF(AND($G7=0,$H7&gt;=T$4,$H7&lt;=T$4+6),"◆","")</f>
        <v/>
      </c>
      <c r="U7" s="19" t="str">
        <f aca="false">IF(AND($G7=0,$H7&gt;=U$4,$H7&lt;=U$4+6),"◆","")</f>
        <v/>
      </c>
      <c r="V7" s="19" t="str">
        <f aca="false">IF(AND($G7=0,$H7&gt;=V$4,$H7&lt;=V$4+6),"◆","")</f>
        <v/>
      </c>
      <c r="W7" s="19" t="str">
        <f aca="false">IF(AND($G7=0,$H7&gt;=W$4,$H7&lt;=W$4+6),"◆","")</f>
        <v/>
      </c>
      <c r="X7" s="19" t="str">
        <f aca="false">IF(AND($G7=0,$H7&gt;=X$4,$H7&lt;=X$4+6),"◆","")</f>
        <v/>
      </c>
      <c r="Y7" s="19" t="str">
        <f aca="false">IF(AND($G7=0,$H7&gt;=Y$4,$H7&lt;=Y$4+6),"◆","")</f>
        <v/>
      </c>
    </row>
    <row r="8" customFormat="false" ht="15" hidden="false" customHeight="false" outlineLevel="0" collapsed="false">
      <c r="A8" s="14" t="s">
        <v>42</v>
      </c>
      <c r="B8" s="14" t="n">
        <v>1</v>
      </c>
      <c r="C8" s="15" t="s">
        <v>43</v>
      </c>
      <c r="D8" s="15" t="s">
        <v>44</v>
      </c>
      <c r="E8" s="16" t="s">
        <v>11</v>
      </c>
      <c r="F8" s="16" t="n">
        <v>5</v>
      </c>
      <c r="G8" s="16" t="n">
        <v>4</v>
      </c>
      <c r="H8" s="17" t="n">
        <f aca="false">Parámetros!$B$3+F8</f>
        <v>46298</v>
      </c>
      <c r="I8" s="17" t="n">
        <f aca="false">IF(G8=0,H8,H8+G8-1)</f>
        <v>46301</v>
      </c>
      <c r="J8" s="14" t="n">
        <f aca="false">INT((H8-Parámetros!$B$3)/7)+1</f>
        <v>1</v>
      </c>
      <c r="K8" s="15" t="s">
        <v>39</v>
      </c>
      <c r="L8" s="18" t="n">
        <v>1</v>
      </c>
      <c r="M8" s="14" t="str">
        <f aca="false">IF(L8&gt;=1,"Completada",IF($M$3&lt;H8,"Pendiente",IF($M$3&gt;I8,"Atrasada","En curso")))</f>
        <v>Completada</v>
      </c>
      <c r="N8" s="19" t="str">
        <f aca="false">IF(AND($G8=0,$H8&gt;=N$4,$H8&lt;=N$4+6),"◆","")</f>
        <v/>
      </c>
      <c r="O8" s="19" t="str">
        <f aca="false">IF(AND($G8=0,$H8&gt;=O$4,$H8&lt;=O$4+6),"◆","")</f>
        <v/>
      </c>
      <c r="P8" s="19" t="str">
        <f aca="false">IF(AND($G8=0,$H8&gt;=P$4,$H8&lt;=P$4+6),"◆","")</f>
        <v/>
      </c>
      <c r="Q8" s="19" t="str">
        <f aca="false">IF(AND($G8=0,$H8&gt;=Q$4,$H8&lt;=Q$4+6),"◆","")</f>
        <v/>
      </c>
      <c r="R8" s="19" t="str">
        <f aca="false">IF(AND($G8=0,$H8&gt;=R$4,$H8&lt;=R$4+6),"◆","")</f>
        <v/>
      </c>
      <c r="S8" s="19" t="str">
        <f aca="false">IF(AND($G8=0,$H8&gt;=S$4,$H8&lt;=S$4+6),"◆","")</f>
        <v/>
      </c>
      <c r="T8" s="19" t="str">
        <f aca="false">IF(AND($G8=0,$H8&gt;=T$4,$H8&lt;=T$4+6),"◆","")</f>
        <v/>
      </c>
      <c r="U8" s="19" t="str">
        <f aca="false">IF(AND($G8=0,$H8&gt;=U$4,$H8&lt;=U$4+6),"◆","")</f>
        <v/>
      </c>
      <c r="V8" s="19" t="str">
        <f aca="false">IF(AND($G8=0,$H8&gt;=V$4,$H8&lt;=V$4+6),"◆","")</f>
        <v/>
      </c>
      <c r="W8" s="19" t="str">
        <f aca="false">IF(AND($G8=0,$H8&gt;=W$4,$H8&lt;=W$4+6),"◆","")</f>
        <v/>
      </c>
      <c r="X8" s="19" t="str">
        <f aca="false">IF(AND($G8=0,$H8&gt;=X$4,$H8&lt;=X$4+6),"◆","")</f>
        <v/>
      </c>
      <c r="Y8" s="19" t="str">
        <f aca="false">IF(AND($G8=0,$H8&gt;=Y$4,$H8&lt;=Y$4+6),"◆","")</f>
        <v/>
      </c>
    </row>
    <row r="9" customFormat="false" ht="15" hidden="false" customHeight="false" outlineLevel="0" collapsed="false">
      <c r="A9" s="14" t="s">
        <v>45</v>
      </c>
      <c r="B9" s="14" t="n">
        <v>1</v>
      </c>
      <c r="C9" s="15" t="s">
        <v>46</v>
      </c>
      <c r="D9" s="15" t="s">
        <v>47</v>
      </c>
      <c r="E9" s="16" t="s">
        <v>11</v>
      </c>
      <c r="F9" s="16" t="n">
        <v>2</v>
      </c>
      <c r="G9" s="16" t="n">
        <v>9</v>
      </c>
      <c r="H9" s="17" t="n">
        <f aca="false">Parámetros!$B$3+F9</f>
        <v>46295</v>
      </c>
      <c r="I9" s="17" t="n">
        <f aca="false">IF(G9=0,H9,H9+G9-1)</f>
        <v>46303</v>
      </c>
      <c r="J9" s="14" t="n">
        <f aca="false">INT((H9-Parámetros!$B$3)/7)+1</f>
        <v>1</v>
      </c>
      <c r="K9" s="15" t="s">
        <v>35</v>
      </c>
      <c r="L9" s="18" t="n">
        <v>1</v>
      </c>
      <c r="M9" s="14" t="str">
        <f aca="false">IF(L9&gt;=1,"Completada",IF($M$3&lt;H9,"Pendiente",IF($M$3&gt;I9,"Atrasada","En curso")))</f>
        <v>Completada</v>
      </c>
      <c r="N9" s="19" t="str">
        <f aca="false">IF(AND($G9=0,$H9&gt;=N$4,$H9&lt;=N$4+6),"◆","")</f>
        <v/>
      </c>
      <c r="O9" s="19" t="str">
        <f aca="false">IF(AND($G9=0,$H9&gt;=O$4,$H9&lt;=O$4+6),"◆","")</f>
        <v/>
      </c>
      <c r="P9" s="19" t="str">
        <f aca="false">IF(AND($G9=0,$H9&gt;=P$4,$H9&lt;=P$4+6),"◆","")</f>
        <v/>
      </c>
      <c r="Q9" s="19" t="str">
        <f aca="false">IF(AND($G9=0,$H9&gt;=Q$4,$H9&lt;=Q$4+6),"◆","")</f>
        <v/>
      </c>
      <c r="R9" s="19" t="str">
        <f aca="false">IF(AND($G9=0,$H9&gt;=R$4,$H9&lt;=R$4+6),"◆","")</f>
        <v/>
      </c>
      <c r="S9" s="19" t="str">
        <f aca="false">IF(AND($G9=0,$H9&gt;=S$4,$H9&lt;=S$4+6),"◆","")</f>
        <v/>
      </c>
      <c r="T9" s="19" t="str">
        <f aca="false">IF(AND($G9=0,$H9&gt;=T$4,$H9&lt;=T$4+6),"◆","")</f>
        <v/>
      </c>
      <c r="U9" s="19" t="str">
        <f aca="false">IF(AND($G9=0,$H9&gt;=U$4,$H9&lt;=U$4+6),"◆","")</f>
        <v/>
      </c>
      <c r="V9" s="19" t="str">
        <f aca="false">IF(AND($G9=0,$H9&gt;=V$4,$H9&lt;=V$4+6),"◆","")</f>
        <v/>
      </c>
      <c r="W9" s="19" t="str">
        <f aca="false">IF(AND($G9=0,$H9&gt;=W$4,$H9&lt;=W$4+6),"◆","")</f>
        <v/>
      </c>
      <c r="X9" s="19" t="str">
        <f aca="false">IF(AND($G9=0,$H9&gt;=X$4,$H9&lt;=X$4+6),"◆","")</f>
        <v/>
      </c>
      <c r="Y9" s="19" t="str">
        <f aca="false">IF(AND($G9=0,$H9&gt;=Y$4,$H9&lt;=Y$4+6),"◆","")</f>
        <v/>
      </c>
    </row>
    <row r="10" customFormat="false" ht="15" hidden="false" customHeight="false" outlineLevel="0" collapsed="false">
      <c r="A10" s="14" t="s">
        <v>48</v>
      </c>
      <c r="B10" s="14" t="n">
        <v>1</v>
      </c>
      <c r="C10" s="15" t="s">
        <v>49</v>
      </c>
      <c r="D10" s="15" t="s">
        <v>50</v>
      </c>
      <c r="E10" s="16" t="s">
        <v>11</v>
      </c>
      <c r="F10" s="16" t="n">
        <v>7</v>
      </c>
      <c r="G10" s="16" t="n">
        <v>4</v>
      </c>
      <c r="H10" s="17" t="n">
        <f aca="false">Parámetros!$B$3+F10</f>
        <v>46300</v>
      </c>
      <c r="I10" s="17" t="n">
        <f aca="false">IF(G10=0,H10,H10+G10-1)</f>
        <v>46303</v>
      </c>
      <c r="J10" s="14" t="n">
        <f aca="false">INT((H10-Parámetros!$B$3)/7)+1</f>
        <v>2</v>
      </c>
      <c r="K10" s="15" t="s">
        <v>45</v>
      </c>
      <c r="L10" s="18" t="n">
        <v>1</v>
      </c>
      <c r="M10" s="14" t="str">
        <f aca="false">IF(L10&gt;=1,"Completada",IF($M$3&lt;H10,"Pendiente",IF($M$3&gt;I10,"Atrasada","En curso")))</f>
        <v>Completada</v>
      </c>
      <c r="N10" s="19" t="str">
        <f aca="false">IF(AND($G10=0,$H10&gt;=N$4,$H10&lt;=N$4+6),"◆","")</f>
        <v/>
      </c>
      <c r="O10" s="19" t="str">
        <f aca="false">IF(AND($G10=0,$H10&gt;=O$4,$H10&lt;=O$4+6),"◆","")</f>
        <v/>
      </c>
      <c r="P10" s="19" t="str">
        <f aca="false">IF(AND($G10=0,$H10&gt;=P$4,$H10&lt;=P$4+6),"◆","")</f>
        <v/>
      </c>
      <c r="Q10" s="19" t="str">
        <f aca="false">IF(AND($G10=0,$H10&gt;=Q$4,$H10&lt;=Q$4+6),"◆","")</f>
        <v/>
      </c>
      <c r="R10" s="19" t="str">
        <f aca="false">IF(AND($G10=0,$H10&gt;=R$4,$H10&lt;=R$4+6),"◆","")</f>
        <v/>
      </c>
      <c r="S10" s="19" t="str">
        <f aca="false">IF(AND($G10=0,$H10&gt;=S$4,$H10&lt;=S$4+6),"◆","")</f>
        <v/>
      </c>
      <c r="T10" s="19" t="str">
        <f aca="false">IF(AND($G10=0,$H10&gt;=T$4,$H10&lt;=T$4+6),"◆","")</f>
        <v/>
      </c>
      <c r="U10" s="19" t="str">
        <f aca="false">IF(AND($G10=0,$H10&gt;=U$4,$H10&lt;=U$4+6),"◆","")</f>
        <v/>
      </c>
      <c r="V10" s="19" t="str">
        <f aca="false">IF(AND($G10=0,$H10&gt;=V$4,$H10&lt;=V$4+6),"◆","")</f>
        <v/>
      </c>
      <c r="W10" s="19" t="str">
        <f aca="false">IF(AND($G10=0,$H10&gt;=W$4,$H10&lt;=W$4+6),"◆","")</f>
        <v/>
      </c>
      <c r="X10" s="19" t="str">
        <f aca="false">IF(AND($G10=0,$H10&gt;=X$4,$H10&lt;=X$4+6),"◆","")</f>
        <v/>
      </c>
      <c r="Y10" s="19" t="str">
        <f aca="false">IF(AND($G10=0,$H10&gt;=Y$4,$H10&lt;=Y$4+6),"◆","")</f>
        <v/>
      </c>
    </row>
    <row r="11" customFormat="false" ht="15" hidden="false" customHeight="false" outlineLevel="0" collapsed="false">
      <c r="A11" s="14" t="s">
        <v>51</v>
      </c>
      <c r="B11" s="14" t="n">
        <v>1</v>
      </c>
      <c r="C11" s="15" t="s">
        <v>52</v>
      </c>
      <c r="D11" s="15" t="s">
        <v>53</v>
      </c>
      <c r="E11" s="16" t="s">
        <v>11</v>
      </c>
      <c r="F11" s="16" t="n">
        <v>8</v>
      </c>
      <c r="G11" s="16" t="n">
        <v>3</v>
      </c>
      <c r="H11" s="17" t="n">
        <f aca="false">Parámetros!$B$3+F11</f>
        <v>46301</v>
      </c>
      <c r="I11" s="17" t="n">
        <f aca="false">IF(G11=0,H11,H11+G11-1)</f>
        <v>46303</v>
      </c>
      <c r="J11" s="14" t="n">
        <f aca="false">INT((H11-Parámetros!$B$3)/7)+1</f>
        <v>2</v>
      </c>
      <c r="K11" s="15" t="s">
        <v>42</v>
      </c>
      <c r="L11" s="18" t="n">
        <v>1</v>
      </c>
      <c r="M11" s="14" t="str">
        <f aca="false">IF(L11&gt;=1,"Completada",IF($M$3&lt;H11,"Pendiente",IF($M$3&gt;I11,"Atrasada","En curso")))</f>
        <v>Completada</v>
      </c>
      <c r="N11" s="19" t="str">
        <f aca="false">IF(AND($G11=0,$H11&gt;=N$4,$H11&lt;=N$4+6),"◆","")</f>
        <v/>
      </c>
      <c r="O11" s="19" t="str">
        <f aca="false">IF(AND($G11=0,$H11&gt;=O$4,$H11&lt;=O$4+6),"◆","")</f>
        <v/>
      </c>
      <c r="P11" s="19" t="str">
        <f aca="false">IF(AND($G11=0,$H11&gt;=P$4,$H11&lt;=P$4+6),"◆","")</f>
        <v/>
      </c>
      <c r="Q11" s="19" t="str">
        <f aca="false">IF(AND($G11=0,$H11&gt;=Q$4,$H11&lt;=Q$4+6),"◆","")</f>
        <v/>
      </c>
      <c r="R11" s="19" t="str">
        <f aca="false">IF(AND($G11=0,$H11&gt;=R$4,$H11&lt;=R$4+6),"◆","")</f>
        <v/>
      </c>
      <c r="S11" s="19" t="str">
        <f aca="false">IF(AND($G11=0,$H11&gt;=S$4,$H11&lt;=S$4+6),"◆","")</f>
        <v/>
      </c>
      <c r="T11" s="19" t="str">
        <f aca="false">IF(AND($G11=0,$H11&gt;=T$4,$H11&lt;=T$4+6),"◆","")</f>
        <v/>
      </c>
      <c r="U11" s="19" t="str">
        <f aca="false">IF(AND($G11=0,$H11&gt;=U$4,$H11&lt;=U$4+6),"◆","")</f>
        <v/>
      </c>
      <c r="V11" s="19" t="str">
        <f aca="false">IF(AND($G11=0,$H11&gt;=V$4,$H11&lt;=V$4+6),"◆","")</f>
        <v/>
      </c>
      <c r="W11" s="19" t="str">
        <f aca="false">IF(AND($G11=0,$H11&gt;=W$4,$H11&lt;=W$4+6),"◆","")</f>
        <v/>
      </c>
      <c r="X11" s="19" t="str">
        <f aca="false">IF(AND($G11=0,$H11&gt;=X$4,$H11&lt;=X$4+6),"◆","")</f>
        <v/>
      </c>
      <c r="Y11" s="19" t="str">
        <f aca="false">IF(AND($G11=0,$H11&gt;=Y$4,$H11&lt;=Y$4+6),"◆","")</f>
        <v/>
      </c>
    </row>
    <row r="12" customFormat="false" ht="15" hidden="false" customHeight="false" outlineLevel="0" collapsed="false">
      <c r="A12" s="14" t="s">
        <v>54</v>
      </c>
      <c r="B12" s="14" t="n">
        <v>1</v>
      </c>
      <c r="C12" s="15" t="s">
        <v>55</v>
      </c>
      <c r="D12" s="15" t="s">
        <v>56</v>
      </c>
      <c r="E12" s="16" t="s">
        <v>11</v>
      </c>
      <c r="F12" s="16" t="n">
        <v>9</v>
      </c>
      <c r="G12" s="16" t="n">
        <v>3</v>
      </c>
      <c r="H12" s="17" t="n">
        <f aca="false">Parámetros!$B$3+F12</f>
        <v>46302</v>
      </c>
      <c r="I12" s="17" t="n">
        <f aca="false">IF(G12=0,H12,H12+G12-1)</f>
        <v>46304</v>
      </c>
      <c r="J12" s="14" t="n">
        <f aca="false">INT((H12-Parámetros!$B$3)/7)+1</f>
        <v>2</v>
      </c>
      <c r="K12" s="15" t="s">
        <v>35</v>
      </c>
      <c r="L12" s="18" t="n">
        <v>1</v>
      </c>
      <c r="M12" s="14" t="str">
        <f aca="false">IF(L12&gt;=1,"Completada",IF($M$3&lt;H12,"Pendiente",IF($M$3&gt;I12,"Atrasada","En curso")))</f>
        <v>Completada</v>
      </c>
      <c r="N12" s="19" t="str">
        <f aca="false">IF(AND($G12=0,$H12&gt;=N$4,$H12&lt;=N$4+6),"◆","")</f>
        <v/>
      </c>
      <c r="O12" s="19" t="str">
        <f aca="false">IF(AND($G12=0,$H12&gt;=O$4,$H12&lt;=O$4+6),"◆","")</f>
        <v/>
      </c>
      <c r="P12" s="19" t="str">
        <f aca="false">IF(AND($G12=0,$H12&gt;=P$4,$H12&lt;=P$4+6),"◆","")</f>
        <v/>
      </c>
      <c r="Q12" s="19" t="str">
        <f aca="false">IF(AND($G12=0,$H12&gt;=Q$4,$H12&lt;=Q$4+6),"◆","")</f>
        <v/>
      </c>
      <c r="R12" s="19" t="str">
        <f aca="false">IF(AND($G12=0,$H12&gt;=R$4,$H12&lt;=R$4+6),"◆","")</f>
        <v/>
      </c>
      <c r="S12" s="19" t="str">
        <f aca="false">IF(AND($G12=0,$H12&gt;=S$4,$H12&lt;=S$4+6),"◆","")</f>
        <v/>
      </c>
      <c r="T12" s="19" t="str">
        <f aca="false">IF(AND($G12=0,$H12&gt;=T$4,$H12&lt;=T$4+6),"◆","")</f>
        <v/>
      </c>
      <c r="U12" s="19" t="str">
        <f aca="false">IF(AND($G12=0,$H12&gt;=U$4,$H12&lt;=U$4+6),"◆","")</f>
        <v/>
      </c>
      <c r="V12" s="19" t="str">
        <f aca="false">IF(AND($G12=0,$H12&gt;=V$4,$H12&lt;=V$4+6),"◆","")</f>
        <v/>
      </c>
      <c r="W12" s="19" t="str">
        <f aca="false">IF(AND($G12=0,$H12&gt;=W$4,$H12&lt;=W$4+6),"◆","")</f>
        <v/>
      </c>
      <c r="X12" s="19" t="str">
        <f aca="false">IF(AND($G12=0,$H12&gt;=X$4,$H12&lt;=X$4+6),"◆","")</f>
        <v/>
      </c>
      <c r="Y12" s="19" t="str">
        <f aca="false">IF(AND($G12=0,$H12&gt;=Y$4,$H12&lt;=Y$4+6),"◆","")</f>
        <v/>
      </c>
    </row>
    <row r="13" customFormat="false" ht="15" hidden="false" customHeight="false" outlineLevel="0" collapsed="false">
      <c r="A13" s="14" t="s">
        <v>57</v>
      </c>
      <c r="B13" s="14" t="n">
        <v>1</v>
      </c>
      <c r="C13" s="15" t="s">
        <v>58</v>
      </c>
      <c r="D13" s="15" t="s">
        <v>59</v>
      </c>
      <c r="E13" s="16" t="s">
        <v>11</v>
      </c>
      <c r="F13" s="16" t="n">
        <v>10</v>
      </c>
      <c r="G13" s="16" t="n">
        <v>3</v>
      </c>
      <c r="H13" s="17" t="n">
        <f aca="false">Parámetros!$B$3+F13</f>
        <v>46303</v>
      </c>
      <c r="I13" s="17" t="n">
        <f aca="false">IF(G13=0,H13,H13+G13-1)</f>
        <v>46305</v>
      </c>
      <c r="J13" s="14" t="n">
        <f aca="false">INT((H13-Parámetros!$B$3)/7)+1</f>
        <v>2</v>
      </c>
      <c r="K13" s="15" t="s">
        <v>60</v>
      </c>
      <c r="L13" s="18" t="n">
        <v>0.5</v>
      </c>
      <c r="M13" s="14" t="str">
        <f aca="false">IF(L13&gt;=1,"Completada",IF($M$3&lt;H13,"Pendiente",IF($M$3&gt;I13,"Atrasada","En curso")))</f>
        <v>En curso</v>
      </c>
      <c r="N13" s="19" t="str">
        <f aca="false">IF(AND($G13=0,$H13&gt;=N$4,$H13&lt;=N$4+6),"◆","")</f>
        <v/>
      </c>
      <c r="O13" s="19" t="str">
        <f aca="false">IF(AND($G13=0,$H13&gt;=O$4,$H13&lt;=O$4+6),"◆","")</f>
        <v/>
      </c>
      <c r="P13" s="19" t="str">
        <f aca="false">IF(AND($G13=0,$H13&gt;=P$4,$H13&lt;=P$4+6),"◆","")</f>
        <v/>
      </c>
      <c r="Q13" s="19" t="str">
        <f aca="false">IF(AND($G13=0,$H13&gt;=Q$4,$H13&lt;=Q$4+6),"◆","")</f>
        <v/>
      </c>
      <c r="R13" s="19" t="str">
        <f aca="false">IF(AND($G13=0,$H13&gt;=R$4,$H13&lt;=R$4+6),"◆","")</f>
        <v/>
      </c>
      <c r="S13" s="19" t="str">
        <f aca="false">IF(AND($G13=0,$H13&gt;=S$4,$H13&lt;=S$4+6),"◆","")</f>
        <v/>
      </c>
      <c r="T13" s="19" t="str">
        <f aca="false">IF(AND($G13=0,$H13&gt;=T$4,$H13&lt;=T$4+6),"◆","")</f>
        <v/>
      </c>
      <c r="U13" s="19" t="str">
        <f aca="false">IF(AND($G13=0,$H13&gt;=U$4,$H13&lt;=U$4+6),"◆","")</f>
        <v/>
      </c>
      <c r="V13" s="19" t="str">
        <f aca="false">IF(AND($G13=0,$H13&gt;=V$4,$H13&lt;=V$4+6),"◆","")</f>
        <v/>
      </c>
      <c r="W13" s="19" t="str">
        <f aca="false">IF(AND($G13=0,$H13&gt;=W$4,$H13&lt;=W$4+6),"◆","")</f>
        <v/>
      </c>
      <c r="X13" s="19" t="str">
        <f aca="false">IF(AND($G13=0,$H13&gt;=X$4,$H13&lt;=X$4+6),"◆","")</f>
        <v/>
      </c>
      <c r="Y13" s="19" t="str">
        <f aca="false">IF(AND($G13=0,$H13&gt;=Y$4,$H13&lt;=Y$4+6),"◆","")</f>
        <v/>
      </c>
    </row>
    <row r="14" customFormat="false" ht="15" hidden="false" customHeight="false" outlineLevel="0" collapsed="false">
      <c r="A14" s="20" t="s">
        <v>61</v>
      </c>
      <c r="B14" s="14" t="n">
        <v>1</v>
      </c>
      <c r="C14" s="21" t="s">
        <v>62</v>
      </c>
      <c r="D14" s="15" t="s">
        <v>63</v>
      </c>
      <c r="E14" s="16" t="s">
        <v>11</v>
      </c>
      <c r="F14" s="16" t="n">
        <v>13</v>
      </c>
      <c r="G14" s="16" t="n">
        <v>0</v>
      </c>
      <c r="H14" s="17" t="n">
        <f aca="false">Parámetros!$B$3+F14</f>
        <v>46306</v>
      </c>
      <c r="I14" s="17" t="n">
        <f aca="false">IF(G14=0,H14,H14+G14-1)</f>
        <v>46306</v>
      </c>
      <c r="J14" s="14" t="n">
        <f aca="false">INT((H14-Parámetros!$B$3)/7)+1</f>
        <v>2</v>
      </c>
      <c r="K14" s="15" t="s">
        <v>57</v>
      </c>
      <c r="L14" s="18" t="n">
        <v>0</v>
      </c>
      <c r="M14" s="14" t="str">
        <f aca="false">IF(L14&gt;=1,"Completada",IF($M$3&lt;H14,"Pendiente",IF($M$3&gt;I14,"Atrasada","En curso")))</f>
        <v>Pendiente</v>
      </c>
      <c r="N14" s="19" t="str">
        <f aca="false">IF(AND($G14=0,$H14&gt;=N$4,$H14&lt;=N$4+6),"◆","")</f>
        <v/>
      </c>
      <c r="O14" s="19" t="str">
        <f aca="false">IF(AND($G14=0,$H14&gt;=O$4,$H14&lt;=O$4+6),"◆","")</f>
        <v>◆</v>
      </c>
      <c r="P14" s="19" t="str">
        <f aca="false">IF(AND($G14=0,$H14&gt;=P$4,$H14&lt;=P$4+6),"◆","")</f>
        <v/>
      </c>
      <c r="Q14" s="19" t="str">
        <f aca="false">IF(AND($G14=0,$H14&gt;=Q$4,$H14&lt;=Q$4+6),"◆","")</f>
        <v/>
      </c>
      <c r="R14" s="19" t="str">
        <f aca="false">IF(AND($G14=0,$H14&gt;=R$4,$H14&lt;=R$4+6),"◆","")</f>
        <v/>
      </c>
      <c r="S14" s="19" t="str">
        <f aca="false">IF(AND($G14=0,$H14&gt;=S$4,$H14&lt;=S$4+6),"◆","")</f>
        <v/>
      </c>
      <c r="T14" s="19" t="str">
        <f aca="false">IF(AND($G14=0,$H14&gt;=T$4,$H14&lt;=T$4+6),"◆","")</f>
        <v/>
      </c>
      <c r="U14" s="19" t="str">
        <f aca="false">IF(AND($G14=0,$H14&gt;=U$4,$H14&lt;=U$4+6),"◆","")</f>
        <v/>
      </c>
      <c r="V14" s="19" t="str">
        <f aca="false">IF(AND($G14=0,$H14&gt;=V$4,$H14&lt;=V$4+6),"◆","")</f>
        <v/>
      </c>
      <c r="W14" s="19" t="str">
        <f aca="false">IF(AND($G14=0,$H14&gt;=W$4,$H14&lt;=W$4+6),"◆","")</f>
        <v/>
      </c>
      <c r="X14" s="19" t="str">
        <f aca="false">IF(AND($G14=0,$H14&gt;=X$4,$H14&lt;=X$4+6),"◆","")</f>
        <v/>
      </c>
      <c r="Y14" s="19" t="str">
        <f aca="false">IF(AND($G14=0,$H14&gt;=Y$4,$H14&lt;=Y$4+6),"◆","")</f>
        <v/>
      </c>
    </row>
    <row r="15" customFormat="false" ht="15" hidden="false" customHeight="false" outlineLevel="0" collapsed="false">
      <c r="A15" s="14" t="s">
        <v>64</v>
      </c>
      <c r="B15" s="14" t="n">
        <v>2</v>
      </c>
      <c r="C15" s="15" t="s">
        <v>65</v>
      </c>
      <c r="D15" s="15" t="s">
        <v>66</v>
      </c>
      <c r="E15" s="16" t="s">
        <v>11</v>
      </c>
      <c r="F15" s="16" t="n">
        <v>14</v>
      </c>
      <c r="G15" s="16" t="n">
        <v>4</v>
      </c>
      <c r="H15" s="17" t="n">
        <f aca="false">Parámetros!$B$3+F15</f>
        <v>46307</v>
      </c>
      <c r="I15" s="17" t="n">
        <f aca="false">IF(G15=0,H15,H15+G15-1)</f>
        <v>46310</v>
      </c>
      <c r="J15" s="14" t="n">
        <f aca="false">INT((H15-Parámetros!$B$3)/7)+1</f>
        <v>3</v>
      </c>
      <c r="K15" s="15" t="s">
        <v>61</v>
      </c>
      <c r="L15" s="18" t="n">
        <v>0</v>
      </c>
      <c r="M15" s="14" t="str">
        <f aca="false">IF(L15&gt;=1,"Completada",IF($M$3&lt;H15,"Pendiente",IF($M$3&gt;I15,"Atrasada","En curso")))</f>
        <v>Pendiente</v>
      </c>
      <c r="N15" s="19" t="str">
        <f aca="false">IF(AND($G15=0,$H15&gt;=N$4,$H15&lt;=N$4+6),"◆","")</f>
        <v/>
      </c>
      <c r="O15" s="19" t="str">
        <f aca="false">IF(AND($G15=0,$H15&gt;=O$4,$H15&lt;=O$4+6),"◆","")</f>
        <v/>
      </c>
      <c r="P15" s="19" t="str">
        <f aca="false">IF(AND($G15=0,$H15&gt;=P$4,$H15&lt;=P$4+6),"◆","")</f>
        <v/>
      </c>
      <c r="Q15" s="19" t="str">
        <f aca="false">IF(AND($G15=0,$H15&gt;=Q$4,$H15&lt;=Q$4+6),"◆","")</f>
        <v/>
      </c>
      <c r="R15" s="19" t="str">
        <f aca="false">IF(AND($G15=0,$H15&gt;=R$4,$H15&lt;=R$4+6),"◆","")</f>
        <v/>
      </c>
      <c r="S15" s="19" t="str">
        <f aca="false">IF(AND($G15=0,$H15&gt;=S$4,$H15&lt;=S$4+6),"◆","")</f>
        <v/>
      </c>
      <c r="T15" s="19" t="str">
        <f aca="false">IF(AND($G15=0,$H15&gt;=T$4,$H15&lt;=T$4+6),"◆","")</f>
        <v/>
      </c>
      <c r="U15" s="19" t="str">
        <f aca="false">IF(AND($G15=0,$H15&gt;=U$4,$H15&lt;=U$4+6),"◆","")</f>
        <v/>
      </c>
      <c r="V15" s="19" t="str">
        <f aca="false">IF(AND($G15=0,$H15&gt;=V$4,$H15&lt;=V$4+6),"◆","")</f>
        <v/>
      </c>
      <c r="W15" s="19" t="str">
        <f aca="false">IF(AND($G15=0,$H15&gt;=W$4,$H15&lt;=W$4+6),"◆","")</f>
        <v/>
      </c>
      <c r="X15" s="19" t="str">
        <f aca="false">IF(AND($G15=0,$H15&gt;=X$4,$H15&lt;=X$4+6),"◆","")</f>
        <v/>
      </c>
      <c r="Y15" s="19" t="str">
        <f aca="false">IF(AND($G15=0,$H15&gt;=Y$4,$H15&lt;=Y$4+6),"◆","")</f>
        <v/>
      </c>
    </row>
    <row r="16" customFormat="false" ht="15" hidden="false" customHeight="false" outlineLevel="0" collapsed="false">
      <c r="A16" s="14" t="s">
        <v>67</v>
      </c>
      <c r="B16" s="14" t="n">
        <v>2</v>
      </c>
      <c r="C16" s="15" t="s">
        <v>68</v>
      </c>
      <c r="D16" s="15" t="s">
        <v>69</v>
      </c>
      <c r="E16" s="16" t="s">
        <v>12</v>
      </c>
      <c r="F16" s="16" t="n">
        <v>16</v>
      </c>
      <c r="G16" s="16" t="n">
        <v>7</v>
      </c>
      <c r="H16" s="17" t="n">
        <f aca="false">Parámetros!$B$3+F16</f>
        <v>46309</v>
      </c>
      <c r="I16" s="17" t="n">
        <f aca="false">IF(G16=0,H16,H16+G16-1)</f>
        <v>46315</v>
      </c>
      <c r="J16" s="14" t="n">
        <f aca="false">INT((H16-Parámetros!$B$3)/7)+1</f>
        <v>3</v>
      </c>
      <c r="K16" s="15" t="s">
        <v>64</v>
      </c>
      <c r="L16" s="18" t="n">
        <v>0</v>
      </c>
      <c r="M16" s="14" t="str">
        <f aca="false">IF(L16&gt;=1,"Completada",IF($M$3&lt;H16,"Pendiente",IF($M$3&gt;I16,"Atrasada","En curso")))</f>
        <v>Pendiente</v>
      </c>
      <c r="N16" s="19" t="str">
        <f aca="false">IF(AND($G16=0,$H16&gt;=N$4,$H16&lt;=N$4+6),"◆","")</f>
        <v/>
      </c>
      <c r="O16" s="19" t="str">
        <f aca="false">IF(AND($G16=0,$H16&gt;=O$4,$H16&lt;=O$4+6),"◆","")</f>
        <v/>
      </c>
      <c r="P16" s="19" t="str">
        <f aca="false">IF(AND($G16=0,$H16&gt;=P$4,$H16&lt;=P$4+6),"◆","")</f>
        <v/>
      </c>
      <c r="Q16" s="19" t="str">
        <f aca="false">IF(AND($G16=0,$H16&gt;=Q$4,$H16&lt;=Q$4+6),"◆","")</f>
        <v/>
      </c>
      <c r="R16" s="19" t="str">
        <f aca="false">IF(AND($G16=0,$H16&gt;=R$4,$H16&lt;=R$4+6),"◆","")</f>
        <v/>
      </c>
      <c r="S16" s="19" t="str">
        <f aca="false">IF(AND($G16=0,$H16&gt;=S$4,$H16&lt;=S$4+6),"◆","")</f>
        <v/>
      </c>
      <c r="T16" s="19" t="str">
        <f aca="false">IF(AND($G16=0,$H16&gt;=T$4,$H16&lt;=T$4+6),"◆","")</f>
        <v/>
      </c>
      <c r="U16" s="19" t="str">
        <f aca="false">IF(AND($G16=0,$H16&gt;=U$4,$H16&lt;=U$4+6),"◆","")</f>
        <v/>
      </c>
      <c r="V16" s="19" t="str">
        <f aca="false">IF(AND($G16=0,$H16&gt;=V$4,$H16&lt;=V$4+6),"◆","")</f>
        <v/>
      </c>
      <c r="W16" s="19" t="str">
        <f aca="false">IF(AND($G16=0,$H16&gt;=W$4,$H16&lt;=W$4+6),"◆","")</f>
        <v/>
      </c>
      <c r="X16" s="19" t="str">
        <f aca="false">IF(AND($G16=0,$H16&gt;=X$4,$H16&lt;=X$4+6),"◆","")</f>
        <v/>
      </c>
      <c r="Y16" s="19" t="str">
        <f aca="false">IF(AND($G16=0,$H16&gt;=Y$4,$H16&lt;=Y$4+6),"◆","")</f>
        <v/>
      </c>
    </row>
    <row r="17" customFormat="false" ht="15" hidden="false" customHeight="false" outlineLevel="0" collapsed="false">
      <c r="A17" s="14" t="s">
        <v>70</v>
      </c>
      <c r="B17" s="14" t="n">
        <v>2</v>
      </c>
      <c r="C17" s="15" t="s">
        <v>71</v>
      </c>
      <c r="D17" s="15" t="s">
        <v>72</v>
      </c>
      <c r="E17" s="16" t="s">
        <v>12</v>
      </c>
      <c r="F17" s="16" t="n">
        <v>21</v>
      </c>
      <c r="G17" s="16" t="n">
        <v>5</v>
      </c>
      <c r="H17" s="17" t="n">
        <f aca="false">Parámetros!$B$3+F17</f>
        <v>46314</v>
      </c>
      <c r="I17" s="17" t="n">
        <f aca="false">IF(G17=0,H17,H17+G17-1)</f>
        <v>46318</v>
      </c>
      <c r="J17" s="14" t="n">
        <f aca="false">INT((H17-Parámetros!$B$3)/7)+1</f>
        <v>4</v>
      </c>
      <c r="K17" s="15" t="s">
        <v>67</v>
      </c>
      <c r="L17" s="18" t="n">
        <v>0</v>
      </c>
      <c r="M17" s="14" t="str">
        <f aca="false">IF(L17&gt;=1,"Completada",IF($M$3&lt;H17,"Pendiente",IF($M$3&gt;I17,"Atrasada","En curso")))</f>
        <v>Pendiente</v>
      </c>
      <c r="N17" s="19" t="str">
        <f aca="false">IF(AND($G17=0,$H17&gt;=N$4,$H17&lt;=N$4+6),"◆","")</f>
        <v/>
      </c>
      <c r="O17" s="19" t="str">
        <f aca="false">IF(AND($G17=0,$H17&gt;=O$4,$H17&lt;=O$4+6),"◆","")</f>
        <v/>
      </c>
      <c r="P17" s="19" t="str">
        <f aca="false">IF(AND($G17=0,$H17&gt;=P$4,$H17&lt;=P$4+6),"◆","")</f>
        <v/>
      </c>
      <c r="Q17" s="19" t="str">
        <f aca="false">IF(AND($G17=0,$H17&gt;=Q$4,$H17&lt;=Q$4+6),"◆","")</f>
        <v/>
      </c>
      <c r="R17" s="19" t="str">
        <f aca="false">IF(AND($G17=0,$H17&gt;=R$4,$H17&lt;=R$4+6),"◆","")</f>
        <v/>
      </c>
      <c r="S17" s="19" t="str">
        <f aca="false">IF(AND($G17=0,$H17&gt;=S$4,$H17&lt;=S$4+6),"◆","")</f>
        <v/>
      </c>
      <c r="T17" s="19" t="str">
        <f aca="false">IF(AND($G17=0,$H17&gt;=T$4,$H17&lt;=T$4+6),"◆","")</f>
        <v/>
      </c>
      <c r="U17" s="19" t="str">
        <f aca="false">IF(AND($G17=0,$H17&gt;=U$4,$H17&lt;=U$4+6),"◆","")</f>
        <v/>
      </c>
      <c r="V17" s="19" t="str">
        <f aca="false">IF(AND($G17=0,$H17&gt;=V$4,$H17&lt;=V$4+6),"◆","")</f>
        <v/>
      </c>
      <c r="W17" s="19" t="str">
        <f aca="false">IF(AND($G17=0,$H17&gt;=W$4,$H17&lt;=W$4+6),"◆","")</f>
        <v/>
      </c>
      <c r="X17" s="19" t="str">
        <f aca="false">IF(AND($G17=0,$H17&gt;=X$4,$H17&lt;=X$4+6),"◆","")</f>
        <v/>
      </c>
      <c r="Y17" s="19" t="str">
        <f aca="false">IF(AND($G17=0,$H17&gt;=Y$4,$H17&lt;=Y$4+6),"◆","")</f>
        <v/>
      </c>
    </row>
    <row r="18" customFormat="false" ht="15" hidden="false" customHeight="false" outlineLevel="0" collapsed="false">
      <c r="A18" s="14" t="s">
        <v>73</v>
      </c>
      <c r="B18" s="14" t="n">
        <v>2</v>
      </c>
      <c r="C18" s="15" t="s">
        <v>74</v>
      </c>
      <c r="D18" s="15" t="s">
        <v>75</v>
      </c>
      <c r="E18" s="16" t="s">
        <v>12</v>
      </c>
      <c r="F18" s="16" t="n">
        <v>23</v>
      </c>
      <c r="G18" s="16" t="n">
        <v>7</v>
      </c>
      <c r="H18" s="17" t="n">
        <f aca="false">Parámetros!$B$3+F18</f>
        <v>46316</v>
      </c>
      <c r="I18" s="17" t="n">
        <f aca="false">IF(G18=0,H18,H18+G18-1)</f>
        <v>46322</v>
      </c>
      <c r="J18" s="14" t="n">
        <f aca="false">INT((H18-Parámetros!$B$3)/7)+1</f>
        <v>4</v>
      </c>
      <c r="K18" s="15" t="s">
        <v>70</v>
      </c>
      <c r="L18" s="18" t="n">
        <v>0</v>
      </c>
      <c r="M18" s="14" t="str">
        <f aca="false">IF(L18&gt;=1,"Completada",IF($M$3&lt;H18,"Pendiente",IF($M$3&gt;I18,"Atrasada","En curso")))</f>
        <v>Pendiente</v>
      </c>
      <c r="N18" s="19" t="str">
        <f aca="false">IF(AND($G18=0,$H18&gt;=N$4,$H18&lt;=N$4+6),"◆","")</f>
        <v/>
      </c>
      <c r="O18" s="19" t="str">
        <f aca="false">IF(AND($G18=0,$H18&gt;=O$4,$H18&lt;=O$4+6),"◆","")</f>
        <v/>
      </c>
      <c r="P18" s="19" t="str">
        <f aca="false">IF(AND($G18=0,$H18&gt;=P$4,$H18&lt;=P$4+6),"◆","")</f>
        <v/>
      </c>
      <c r="Q18" s="19" t="str">
        <f aca="false">IF(AND($G18=0,$H18&gt;=Q$4,$H18&lt;=Q$4+6),"◆","")</f>
        <v/>
      </c>
      <c r="R18" s="19" t="str">
        <f aca="false">IF(AND($G18=0,$H18&gt;=R$4,$H18&lt;=R$4+6),"◆","")</f>
        <v/>
      </c>
      <c r="S18" s="19" t="str">
        <f aca="false">IF(AND($G18=0,$H18&gt;=S$4,$H18&lt;=S$4+6),"◆","")</f>
        <v/>
      </c>
      <c r="T18" s="19" t="str">
        <f aca="false">IF(AND($G18=0,$H18&gt;=T$4,$H18&lt;=T$4+6),"◆","")</f>
        <v/>
      </c>
      <c r="U18" s="19" t="str">
        <f aca="false">IF(AND($G18=0,$H18&gt;=U$4,$H18&lt;=U$4+6),"◆","")</f>
        <v/>
      </c>
      <c r="V18" s="19" t="str">
        <f aca="false">IF(AND($G18=0,$H18&gt;=V$4,$H18&lt;=V$4+6),"◆","")</f>
        <v/>
      </c>
      <c r="W18" s="19" t="str">
        <f aca="false">IF(AND($G18=0,$H18&gt;=W$4,$H18&lt;=W$4+6),"◆","")</f>
        <v/>
      </c>
      <c r="X18" s="19" t="str">
        <f aca="false">IF(AND($G18=0,$H18&gt;=X$4,$H18&lt;=X$4+6),"◆","")</f>
        <v/>
      </c>
      <c r="Y18" s="19" t="str">
        <f aca="false">IF(AND($G18=0,$H18&gt;=Y$4,$H18&lt;=Y$4+6),"◆","")</f>
        <v/>
      </c>
    </row>
    <row r="19" customFormat="false" ht="15" hidden="false" customHeight="false" outlineLevel="0" collapsed="false">
      <c r="A19" s="14" t="s">
        <v>76</v>
      </c>
      <c r="B19" s="14" t="n">
        <v>2</v>
      </c>
      <c r="C19" s="15" t="s">
        <v>77</v>
      </c>
      <c r="D19" s="15" t="s">
        <v>78</v>
      </c>
      <c r="E19" s="16" t="s">
        <v>12</v>
      </c>
      <c r="F19" s="16" t="n">
        <v>26</v>
      </c>
      <c r="G19" s="16" t="n">
        <v>5</v>
      </c>
      <c r="H19" s="17" t="n">
        <f aca="false">Parámetros!$B$3+F19</f>
        <v>46319</v>
      </c>
      <c r="I19" s="17" t="n">
        <f aca="false">IF(G19=0,H19,H19+G19-1)</f>
        <v>46323</v>
      </c>
      <c r="J19" s="14" t="n">
        <f aca="false">INT((H19-Parámetros!$B$3)/7)+1</f>
        <v>4</v>
      </c>
      <c r="K19" s="15" t="s">
        <v>70</v>
      </c>
      <c r="L19" s="18" t="n">
        <v>0</v>
      </c>
      <c r="M19" s="14" t="str">
        <f aca="false">IF(L19&gt;=1,"Completada",IF($M$3&lt;H19,"Pendiente",IF($M$3&gt;I19,"Atrasada","En curso")))</f>
        <v>Pendiente</v>
      </c>
      <c r="N19" s="19" t="str">
        <f aca="false">IF(AND($G19=0,$H19&gt;=N$4,$H19&lt;=N$4+6),"◆","")</f>
        <v/>
      </c>
      <c r="O19" s="19" t="str">
        <f aca="false">IF(AND($G19=0,$H19&gt;=O$4,$H19&lt;=O$4+6),"◆","")</f>
        <v/>
      </c>
      <c r="P19" s="19" t="str">
        <f aca="false">IF(AND($G19=0,$H19&gt;=P$4,$H19&lt;=P$4+6),"◆","")</f>
        <v/>
      </c>
      <c r="Q19" s="19" t="str">
        <f aca="false">IF(AND($G19=0,$H19&gt;=Q$4,$H19&lt;=Q$4+6),"◆","")</f>
        <v/>
      </c>
      <c r="R19" s="19" t="str">
        <f aca="false">IF(AND($G19=0,$H19&gt;=R$4,$H19&lt;=R$4+6),"◆","")</f>
        <v/>
      </c>
      <c r="S19" s="19" t="str">
        <f aca="false">IF(AND($G19=0,$H19&gt;=S$4,$H19&lt;=S$4+6),"◆","")</f>
        <v/>
      </c>
      <c r="T19" s="19" t="str">
        <f aca="false">IF(AND($G19=0,$H19&gt;=T$4,$H19&lt;=T$4+6),"◆","")</f>
        <v/>
      </c>
      <c r="U19" s="19" t="str">
        <f aca="false">IF(AND($G19=0,$H19&gt;=U$4,$H19&lt;=U$4+6),"◆","")</f>
        <v/>
      </c>
      <c r="V19" s="19" t="str">
        <f aca="false">IF(AND($G19=0,$H19&gt;=V$4,$H19&lt;=V$4+6),"◆","")</f>
        <v/>
      </c>
      <c r="W19" s="19" t="str">
        <f aca="false">IF(AND($G19=0,$H19&gt;=W$4,$H19&lt;=W$4+6),"◆","")</f>
        <v/>
      </c>
      <c r="X19" s="19" t="str">
        <f aca="false">IF(AND($G19=0,$H19&gt;=X$4,$H19&lt;=X$4+6),"◆","")</f>
        <v/>
      </c>
      <c r="Y19" s="19" t="str">
        <f aca="false">IF(AND($G19=0,$H19&gt;=Y$4,$H19&lt;=Y$4+6),"◆","")</f>
        <v/>
      </c>
    </row>
    <row r="20" customFormat="false" ht="15" hidden="false" customHeight="false" outlineLevel="0" collapsed="false">
      <c r="A20" s="14" t="s">
        <v>79</v>
      </c>
      <c r="B20" s="14" t="n">
        <v>2</v>
      </c>
      <c r="C20" s="15" t="s">
        <v>80</v>
      </c>
      <c r="D20" s="15" t="s">
        <v>81</v>
      </c>
      <c r="E20" s="16" t="s">
        <v>11</v>
      </c>
      <c r="F20" s="16" t="n">
        <v>28</v>
      </c>
      <c r="G20" s="16" t="n">
        <v>4</v>
      </c>
      <c r="H20" s="17" t="n">
        <f aca="false">Parámetros!$B$3+F20</f>
        <v>46321</v>
      </c>
      <c r="I20" s="17" t="n">
        <f aca="false">IF(G20=0,H20,H20+G20-1)</f>
        <v>46324</v>
      </c>
      <c r="J20" s="14" t="n">
        <f aca="false">INT((H20-Parámetros!$B$3)/7)+1</f>
        <v>5</v>
      </c>
      <c r="K20" s="15" t="s">
        <v>73</v>
      </c>
      <c r="L20" s="18" t="n">
        <v>0</v>
      </c>
      <c r="M20" s="14" t="str">
        <f aca="false">IF(L20&gt;=1,"Completada",IF($M$3&lt;H20,"Pendiente",IF($M$3&gt;I20,"Atrasada","En curso")))</f>
        <v>Pendiente</v>
      </c>
      <c r="N20" s="19" t="str">
        <f aca="false">IF(AND($G20=0,$H20&gt;=N$4,$H20&lt;=N$4+6),"◆","")</f>
        <v/>
      </c>
      <c r="O20" s="19" t="str">
        <f aca="false">IF(AND($G20=0,$H20&gt;=O$4,$H20&lt;=O$4+6),"◆","")</f>
        <v/>
      </c>
      <c r="P20" s="19" t="str">
        <f aca="false">IF(AND($G20=0,$H20&gt;=P$4,$H20&lt;=P$4+6),"◆","")</f>
        <v/>
      </c>
      <c r="Q20" s="19" t="str">
        <f aca="false">IF(AND($G20=0,$H20&gt;=Q$4,$H20&lt;=Q$4+6),"◆","")</f>
        <v/>
      </c>
      <c r="R20" s="19" t="str">
        <f aca="false">IF(AND($G20=0,$H20&gt;=R$4,$H20&lt;=R$4+6),"◆","")</f>
        <v/>
      </c>
      <c r="S20" s="19" t="str">
        <f aca="false">IF(AND($G20=0,$H20&gt;=S$4,$H20&lt;=S$4+6),"◆","")</f>
        <v/>
      </c>
      <c r="T20" s="19" t="str">
        <f aca="false">IF(AND($G20=0,$H20&gt;=T$4,$H20&lt;=T$4+6),"◆","")</f>
        <v/>
      </c>
      <c r="U20" s="19" t="str">
        <f aca="false">IF(AND($G20=0,$H20&gt;=U$4,$H20&lt;=U$4+6),"◆","")</f>
        <v/>
      </c>
      <c r="V20" s="19" t="str">
        <f aca="false">IF(AND($G20=0,$H20&gt;=V$4,$H20&lt;=V$4+6),"◆","")</f>
        <v/>
      </c>
      <c r="W20" s="19" t="str">
        <f aca="false">IF(AND($G20=0,$H20&gt;=W$4,$H20&lt;=W$4+6),"◆","")</f>
        <v/>
      </c>
      <c r="X20" s="19" t="str">
        <f aca="false">IF(AND($G20=0,$H20&gt;=X$4,$H20&lt;=X$4+6),"◆","")</f>
        <v/>
      </c>
      <c r="Y20" s="19" t="str">
        <f aca="false">IF(AND($G20=0,$H20&gt;=Y$4,$H20&lt;=Y$4+6),"◆","")</f>
        <v/>
      </c>
    </row>
    <row r="21" customFormat="false" ht="15" hidden="false" customHeight="false" outlineLevel="0" collapsed="false">
      <c r="A21" s="14" t="s">
        <v>82</v>
      </c>
      <c r="B21" s="14" t="n">
        <v>2</v>
      </c>
      <c r="C21" s="15" t="s">
        <v>83</v>
      </c>
      <c r="D21" s="15" t="s">
        <v>84</v>
      </c>
      <c r="E21" s="16" t="s">
        <v>12</v>
      </c>
      <c r="F21" s="16" t="n">
        <v>30</v>
      </c>
      <c r="G21" s="16" t="n">
        <v>7</v>
      </c>
      <c r="H21" s="17" t="n">
        <f aca="false">Parámetros!$B$3+F21</f>
        <v>46323</v>
      </c>
      <c r="I21" s="17" t="n">
        <f aca="false">IF(G21=0,H21,H21+G21-1)</f>
        <v>46329</v>
      </c>
      <c r="J21" s="14" t="n">
        <f aca="false">INT((H21-Parámetros!$B$3)/7)+1</f>
        <v>5</v>
      </c>
      <c r="K21" s="15" t="s">
        <v>76</v>
      </c>
      <c r="L21" s="18" t="n">
        <v>0</v>
      </c>
      <c r="M21" s="14" t="str">
        <f aca="false">IF(L21&gt;=1,"Completada",IF($M$3&lt;H21,"Pendiente",IF($M$3&gt;I21,"Atrasada","En curso")))</f>
        <v>Pendiente</v>
      </c>
      <c r="N21" s="19" t="str">
        <f aca="false">IF(AND($G21=0,$H21&gt;=N$4,$H21&lt;=N$4+6),"◆","")</f>
        <v/>
      </c>
      <c r="O21" s="19" t="str">
        <f aca="false">IF(AND($G21=0,$H21&gt;=O$4,$H21&lt;=O$4+6),"◆","")</f>
        <v/>
      </c>
      <c r="P21" s="19" t="str">
        <f aca="false">IF(AND($G21=0,$H21&gt;=P$4,$H21&lt;=P$4+6),"◆","")</f>
        <v/>
      </c>
      <c r="Q21" s="19" t="str">
        <f aca="false">IF(AND($G21=0,$H21&gt;=Q$4,$H21&lt;=Q$4+6),"◆","")</f>
        <v/>
      </c>
      <c r="R21" s="19" t="str">
        <f aca="false">IF(AND($G21=0,$H21&gt;=R$4,$H21&lt;=R$4+6),"◆","")</f>
        <v/>
      </c>
      <c r="S21" s="19" t="str">
        <f aca="false">IF(AND($G21=0,$H21&gt;=S$4,$H21&lt;=S$4+6),"◆","")</f>
        <v/>
      </c>
      <c r="T21" s="19" t="str">
        <f aca="false">IF(AND($G21=0,$H21&gt;=T$4,$H21&lt;=T$4+6),"◆","")</f>
        <v/>
      </c>
      <c r="U21" s="19" t="str">
        <f aca="false">IF(AND($G21=0,$H21&gt;=U$4,$H21&lt;=U$4+6),"◆","")</f>
        <v/>
      </c>
      <c r="V21" s="19" t="str">
        <f aca="false">IF(AND($G21=0,$H21&gt;=V$4,$H21&lt;=V$4+6),"◆","")</f>
        <v/>
      </c>
      <c r="W21" s="19" t="str">
        <f aca="false">IF(AND($G21=0,$H21&gt;=W$4,$H21&lt;=W$4+6),"◆","")</f>
        <v/>
      </c>
      <c r="X21" s="19" t="str">
        <f aca="false">IF(AND($G21=0,$H21&gt;=X$4,$H21&lt;=X$4+6),"◆","")</f>
        <v/>
      </c>
      <c r="Y21" s="19" t="str">
        <f aca="false">IF(AND($G21=0,$H21&gt;=Y$4,$H21&lt;=Y$4+6),"◆","")</f>
        <v/>
      </c>
    </row>
    <row r="22" customFormat="false" ht="15" hidden="false" customHeight="false" outlineLevel="0" collapsed="false">
      <c r="A22" s="14" t="s">
        <v>85</v>
      </c>
      <c r="B22" s="14" t="n">
        <v>2</v>
      </c>
      <c r="C22" s="15" t="s">
        <v>86</v>
      </c>
      <c r="D22" s="15" t="s">
        <v>87</v>
      </c>
      <c r="E22" s="16" t="s">
        <v>11</v>
      </c>
      <c r="F22" s="16" t="n">
        <v>36</v>
      </c>
      <c r="G22" s="16" t="n">
        <v>5</v>
      </c>
      <c r="H22" s="17" t="n">
        <f aca="false">Parámetros!$B$3+F22</f>
        <v>46329</v>
      </c>
      <c r="I22" s="17" t="n">
        <f aca="false">IF(G22=0,H22,H22+G22-1)</f>
        <v>46333</v>
      </c>
      <c r="J22" s="14" t="n">
        <f aca="false">INT((H22-Parámetros!$B$3)/7)+1</f>
        <v>6</v>
      </c>
      <c r="K22" s="15" t="s">
        <v>88</v>
      </c>
      <c r="L22" s="18" t="n">
        <v>0</v>
      </c>
      <c r="M22" s="14" t="str">
        <f aca="false">IF(L22&gt;=1,"Completada",IF($M$3&lt;H22,"Pendiente",IF($M$3&gt;I22,"Atrasada","En curso")))</f>
        <v>Pendiente</v>
      </c>
      <c r="N22" s="19" t="str">
        <f aca="false">IF(AND($G22=0,$H22&gt;=N$4,$H22&lt;=N$4+6),"◆","")</f>
        <v/>
      </c>
      <c r="O22" s="19" t="str">
        <f aca="false">IF(AND($G22=0,$H22&gt;=O$4,$H22&lt;=O$4+6),"◆","")</f>
        <v/>
      </c>
      <c r="P22" s="19" t="str">
        <f aca="false">IF(AND($G22=0,$H22&gt;=P$4,$H22&lt;=P$4+6),"◆","")</f>
        <v/>
      </c>
      <c r="Q22" s="19" t="str">
        <f aca="false">IF(AND($G22=0,$H22&gt;=Q$4,$H22&lt;=Q$4+6),"◆","")</f>
        <v/>
      </c>
      <c r="R22" s="19" t="str">
        <f aca="false">IF(AND($G22=0,$H22&gt;=R$4,$H22&lt;=R$4+6),"◆","")</f>
        <v/>
      </c>
      <c r="S22" s="19" t="str">
        <f aca="false">IF(AND($G22=0,$H22&gt;=S$4,$H22&lt;=S$4+6),"◆","")</f>
        <v/>
      </c>
      <c r="T22" s="19" t="str">
        <f aca="false">IF(AND($G22=0,$H22&gt;=T$4,$H22&lt;=T$4+6),"◆","")</f>
        <v/>
      </c>
      <c r="U22" s="19" t="str">
        <f aca="false">IF(AND($G22=0,$H22&gt;=U$4,$H22&lt;=U$4+6),"◆","")</f>
        <v/>
      </c>
      <c r="V22" s="19" t="str">
        <f aca="false">IF(AND($G22=0,$H22&gt;=V$4,$H22&lt;=V$4+6),"◆","")</f>
        <v/>
      </c>
      <c r="W22" s="19" t="str">
        <f aca="false">IF(AND($G22=0,$H22&gt;=W$4,$H22&lt;=W$4+6),"◆","")</f>
        <v/>
      </c>
      <c r="X22" s="19" t="str">
        <f aca="false">IF(AND($G22=0,$H22&gt;=X$4,$H22&lt;=X$4+6),"◆","")</f>
        <v/>
      </c>
      <c r="Y22" s="19" t="str">
        <f aca="false">IF(AND($G22=0,$H22&gt;=Y$4,$H22&lt;=Y$4+6),"◆","")</f>
        <v/>
      </c>
    </row>
    <row r="23" customFormat="false" ht="15" hidden="false" customHeight="false" outlineLevel="0" collapsed="false">
      <c r="A23" s="20" t="s">
        <v>89</v>
      </c>
      <c r="B23" s="14" t="n">
        <v>2</v>
      </c>
      <c r="C23" s="21" t="s">
        <v>90</v>
      </c>
      <c r="D23" s="15" t="s">
        <v>63</v>
      </c>
      <c r="E23" s="16" t="s">
        <v>11</v>
      </c>
      <c r="F23" s="16" t="n">
        <v>41</v>
      </c>
      <c r="G23" s="16" t="n">
        <v>0</v>
      </c>
      <c r="H23" s="17" t="n">
        <f aca="false">Parámetros!$B$3+F23</f>
        <v>46334</v>
      </c>
      <c r="I23" s="17" t="n">
        <f aca="false">IF(G23=0,H23,H23+G23-1)</f>
        <v>46334</v>
      </c>
      <c r="J23" s="14" t="n">
        <f aca="false">INT((H23-Parámetros!$B$3)/7)+1</f>
        <v>6</v>
      </c>
      <c r="K23" s="15" t="s">
        <v>85</v>
      </c>
      <c r="L23" s="18" t="n">
        <v>0</v>
      </c>
      <c r="M23" s="14" t="str">
        <f aca="false">IF(L23&gt;=1,"Completada",IF($M$3&lt;H23,"Pendiente",IF($M$3&gt;I23,"Atrasada","En curso")))</f>
        <v>Pendiente</v>
      </c>
      <c r="N23" s="19" t="str">
        <f aca="false">IF(AND($G23=0,$H23&gt;=N$4,$H23&lt;=N$4+6),"◆","")</f>
        <v/>
      </c>
      <c r="O23" s="19" t="str">
        <f aca="false">IF(AND($G23=0,$H23&gt;=O$4,$H23&lt;=O$4+6),"◆","")</f>
        <v/>
      </c>
      <c r="P23" s="19" t="str">
        <f aca="false">IF(AND($G23=0,$H23&gt;=P$4,$H23&lt;=P$4+6),"◆","")</f>
        <v/>
      </c>
      <c r="Q23" s="19" t="str">
        <f aca="false">IF(AND($G23=0,$H23&gt;=Q$4,$H23&lt;=Q$4+6),"◆","")</f>
        <v/>
      </c>
      <c r="R23" s="19" t="str">
        <f aca="false">IF(AND($G23=0,$H23&gt;=R$4,$H23&lt;=R$4+6),"◆","")</f>
        <v/>
      </c>
      <c r="S23" s="19" t="str">
        <f aca="false">IF(AND($G23=0,$H23&gt;=S$4,$H23&lt;=S$4+6),"◆","")</f>
        <v>◆</v>
      </c>
      <c r="T23" s="19" t="str">
        <f aca="false">IF(AND($G23=0,$H23&gt;=T$4,$H23&lt;=T$4+6),"◆","")</f>
        <v/>
      </c>
      <c r="U23" s="19" t="str">
        <f aca="false">IF(AND($G23=0,$H23&gt;=U$4,$H23&lt;=U$4+6),"◆","")</f>
        <v/>
      </c>
      <c r="V23" s="19" t="str">
        <f aca="false">IF(AND($G23=0,$H23&gt;=V$4,$H23&lt;=V$4+6),"◆","")</f>
        <v/>
      </c>
      <c r="W23" s="19" t="str">
        <f aca="false">IF(AND($G23=0,$H23&gt;=W$4,$H23&lt;=W$4+6),"◆","")</f>
        <v/>
      </c>
      <c r="X23" s="19" t="str">
        <f aca="false">IF(AND($G23=0,$H23&gt;=X$4,$H23&lt;=X$4+6),"◆","")</f>
        <v/>
      </c>
      <c r="Y23" s="19" t="str">
        <f aca="false">IF(AND($G23=0,$H23&gt;=Y$4,$H23&lt;=Y$4+6),"◆","")</f>
        <v/>
      </c>
    </row>
    <row r="24" customFormat="false" ht="15" hidden="false" customHeight="false" outlineLevel="0" collapsed="false">
      <c r="A24" s="14" t="s">
        <v>91</v>
      </c>
      <c r="B24" s="14" t="n">
        <v>3</v>
      </c>
      <c r="C24" s="15" t="s">
        <v>92</v>
      </c>
      <c r="D24" s="15" t="s">
        <v>93</v>
      </c>
      <c r="E24" s="16" t="s">
        <v>12</v>
      </c>
      <c r="F24" s="16" t="n">
        <v>42</v>
      </c>
      <c r="G24" s="16" t="n">
        <v>9</v>
      </c>
      <c r="H24" s="17" t="n">
        <f aca="false">Parámetros!$B$3+F24</f>
        <v>46335</v>
      </c>
      <c r="I24" s="17" t="n">
        <f aca="false">IF(G24=0,H24,H24+G24-1)</f>
        <v>46343</v>
      </c>
      <c r="J24" s="14" t="n">
        <f aca="false">INT((H24-Parámetros!$B$3)/7)+1</f>
        <v>7</v>
      </c>
      <c r="K24" s="15" t="s">
        <v>89</v>
      </c>
      <c r="L24" s="18" t="n">
        <v>0</v>
      </c>
      <c r="M24" s="14" t="str">
        <f aca="false">IF(L24&gt;=1,"Completada",IF($M$3&lt;H24,"Pendiente",IF($M$3&gt;I24,"Atrasada","En curso")))</f>
        <v>Pendiente</v>
      </c>
      <c r="N24" s="19" t="str">
        <f aca="false">IF(AND($G24=0,$H24&gt;=N$4,$H24&lt;=N$4+6),"◆","")</f>
        <v/>
      </c>
      <c r="O24" s="19" t="str">
        <f aca="false">IF(AND($G24=0,$H24&gt;=O$4,$H24&lt;=O$4+6),"◆","")</f>
        <v/>
      </c>
      <c r="P24" s="19" t="str">
        <f aca="false">IF(AND($G24=0,$H24&gt;=P$4,$H24&lt;=P$4+6),"◆","")</f>
        <v/>
      </c>
      <c r="Q24" s="19" t="str">
        <f aca="false">IF(AND($G24=0,$H24&gt;=Q$4,$H24&lt;=Q$4+6),"◆","")</f>
        <v/>
      </c>
      <c r="R24" s="19" t="str">
        <f aca="false">IF(AND($G24=0,$H24&gt;=R$4,$H24&lt;=R$4+6),"◆","")</f>
        <v/>
      </c>
      <c r="S24" s="19" t="str">
        <f aca="false">IF(AND($G24=0,$H24&gt;=S$4,$H24&lt;=S$4+6),"◆","")</f>
        <v/>
      </c>
      <c r="T24" s="19" t="str">
        <f aca="false">IF(AND($G24=0,$H24&gt;=T$4,$H24&lt;=T$4+6),"◆","")</f>
        <v/>
      </c>
      <c r="U24" s="19" t="str">
        <f aca="false">IF(AND($G24=0,$H24&gt;=U$4,$H24&lt;=U$4+6),"◆","")</f>
        <v/>
      </c>
      <c r="V24" s="19" t="str">
        <f aca="false">IF(AND($G24=0,$H24&gt;=V$4,$H24&lt;=V$4+6),"◆","")</f>
        <v/>
      </c>
      <c r="W24" s="19" t="str">
        <f aca="false">IF(AND($G24=0,$H24&gt;=W$4,$H24&lt;=W$4+6),"◆","")</f>
        <v/>
      </c>
      <c r="X24" s="19" t="str">
        <f aca="false">IF(AND($G24=0,$H24&gt;=X$4,$H24&lt;=X$4+6),"◆","")</f>
        <v/>
      </c>
      <c r="Y24" s="19" t="str">
        <f aca="false">IF(AND($G24=0,$H24&gt;=Y$4,$H24&lt;=Y$4+6),"◆","")</f>
        <v/>
      </c>
    </row>
    <row r="25" customFormat="false" ht="23.85" hidden="false" customHeight="false" outlineLevel="0" collapsed="false">
      <c r="A25" s="14" t="s">
        <v>94</v>
      </c>
      <c r="B25" s="14" t="n">
        <v>3</v>
      </c>
      <c r="C25" s="15" t="s">
        <v>95</v>
      </c>
      <c r="D25" s="15" t="s">
        <v>93</v>
      </c>
      <c r="E25" s="16" t="s">
        <v>12</v>
      </c>
      <c r="F25" s="16" t="n">
        <v>44</v>
      </c>
      <c r="G25" s="16" t="n">
        <v>9</v>
      </c>
      <c r="H25" s="17" t="n">
        <f aca="false">Parámetros!$B$3+F25</f>
        <v>46337</v>
      </c>
      <c r="I25" s="17" t="n">
        <f aca="false">IF(G25=0,H25,H25+G25-1)</f>
        <v>46345</v>
      </c>
      <c r="J25" s="14" t="n">
        <f aca="false">INT((H25-Parámetros!$B$3)/7)+1</f>
        <v>7</v>
      </c>
      <c r="K25" s="15" t="s">
        <v>89</v>
      </c>
      <c r="L25" s="18" t="n">
        <v>0</v>
      </c>
      <c r="M25" s="14" t="str">
        <f aca="false">IF(L25&gt;=1,"Completada",IF($M$3&lt;H25,"Pendiente",IF($M$3&gt;I25,"Atrasada","En curso")))</f>
        <v>Pendiente</v>
      </c>
      <c r="N25" s="19" t="str">
        <f aca="false">IF(AND($G25=0,$H25&gt;=N$4,$H25&lt;=N$4+6),"◆","")</f>
        <v/>
      </c>
      <c r="O25" s="19" t="str">
        <f aca="false">IF(AND($G25=0,$H25&gt;=O$4,$H25&lt;=O$4+6),"◆","")</f>
        <v/>
      </c>
      <c r="P25" s="19" t="str">
        <f aca="false">IF(AND($G25=0,$H25&gt;=P$4,$H25&lt;=P$4+6),"◆","")</f>
        <v/>
      </c>
      <c r="Q25" s="19" t="str">
        <f aca="false">IF(AND($G25=0,$H25&gt;=Q$4,$H25&lt;=Q$4+6),"◆","")</f>
        <v/>
      </c>
      <c r="R25" s="19" t="str">
        <f aca="false">IF(AND($G25=0,$H25&gt;=R$4,$H25&lt;=R$4+6),"◆","")</f>
        <v/>
      </c>
      <c r="S25" s="19" t="str">
        <f aca="false">IF(AND($G25=0,$H25&gt;=S$4,$H25&lt;=S$4+6),"◆","")</f>
        <v/>
      </c>
      <c r="T25" s="19" t="str">
        <f aca="false">IF(AND($G25=0,$H25&gt;=T$4,$H25&lt;=T$4+6),"◆","")</f>
        <v/>
      </c>
      <c r="U25" s="19" t="str">
        <f aca="false">IF(AND($G25=0,$H25&gt;=U$4,$H25&lt;=U$4+6),"◆","")</f>
        <v/>
      </c>
      <c r="V25" s="19" t="str">
        <f aca="false">IF(AND($G25=0,$H25&gt;=V$4,$H25&lt;=V$4+6),"◆","")</f>
        <v/>
      </c>
      <c r="W25" s="19" t="str">
        <f aca="false">IF(AND($G25=0,$H25&gt;=W$4,$H25&lt;=W$4+6),"◆","")</f>
        <v/>
      </c>
      <c r="X25" s="19" t="str">
        <f aca="false">IF(AND($G25=0,$H25&gt;=X$4,$H25&lt;=X$4+6),"◆","")</f>
        <v/>
      </c>
      <c r="Y25" s="19" t="str">
        <f aca="false">IF(AND($G25=0,$H25&gt;=Y$4,$H25&lt;=Y$4+6),"◆","")</f>
        <v/>
      </c>
    </row>
    <row r="26" customFormat="false" ht="15" hidden="false" customHeight="false" outlineLevel="0" collapsed="false">
      <c r="A26" s="14" t="s">
        <v>96</v>
      </c>
      <c r="B26" s="14" t="n">
        <v>3</v>
      </c>
      <c r="C26" s="15" t="s">
        <v>97</v>
      </c>
      <c r="D26" s="15" t="s">
        <v>98</v>
      </c>
      <c r="E26" s="16" t="s">
        <v>12</v>
      </c>
      <c r="F26" s="16" t="n">
        <v>50</v>
      </c>
      <c r="G26" s="16" t="n">
        <v>7</v>
      </c>
      <c r="H26" s="17" t="n">
        <f aca="false">Parámetros!$B$3+F26</f>
        <v>46343</v>
      </c>
      <c r="I26" s="17" t="n">
        <f aca="false">IF(G26=0,H26,H26+G26-1)</f>
        <v>46349</v>
      </c>
      <c r="J26" s="14" t="n">
        <f aca="false">INT((H26-Parámetros!$B$3)/7)+1</f>
        <v>8</v>
      </c>
      <c r="K26" s="15" t="s">
        <v>91</v>
      </c>
      <c r="L26" s="18" t="n">
        <v>0</v>
      </c>
      <c r="M26" s="14" t="str">
        <f aca="false">IF(L26&gt;=1,"Completada",IF($M$3&lt;H26,"Pendiente",IF($M$3&gt;I26,"Atrasada","En curso")))</f>
        <v>Pendiente</v>
      </c>
      <c r="N26" s="19" t="str">
        <f aca="false">IF(AND($G26=0,$H26&gt;=N$4,$H26&lt;=N$4+6),"◆","")</f>
        <v/>
      </c>
      <c r="O26" s="19" t="str">
        <f aca="false">IF(AND($G26=0,$H26&gt;=O$4,$H26&lt;=O$4+6),"◆","")</f>
        <v/>
      </c>
      <c r="P26" s="19" t="str">
        <f aca="false">IF(AND($G26=0,$H26&gt;=P$4,$H26&lt;=P$4+6),"◆","")</f>
        <v/>
      </c>
      <c r="Q26" s="19" t="str">
        <f aca="false">IF(AND($G26=0,$H26&gt;=Q$4,$H26&lt;=Q$4+6),"◆","")</f>
        <v/>
      </c>
      <c r="R26" s="19" t="str">
        <f aca="false">IF(AND($G26=0,$H26&gt;=R$4,$H26&lt;=R$4+6),"◆","")</f>
        <v/>
      </c>
      <c r="S26" s="19" t="str">
        <f aca="false">IF(AND($G26=0,$H26&gt;=S$4,$H26&lt;=S$4+6),"◆","")</f>
        <v/>
      </c>
      <c r="T26" s="19" t="str">
        <f aca="false">IF(AND($G26=0,$H26&gt;=T$4,$H26&lt;=T$4+6),"◆","")</f>
        <v/>
      </c>
      <c r="U26" s="19" t="str">
        <f aca="false">IF(AND($G26=0,$H26&gt;=U$4,$H26&lt;=U$4+6),"◆","")</f>
        <v/>
      </c>
      <c r="V26" s="19" t="str">
        <f aca="false">IF(AND($G26=0,$H26&gt;=V$4,$H26&lt;=V$4+6),"◆","")</f>
        <v/>
      </c>
      <c r="W26" s="19" t="str">
        <f aca="false">IF(AND($G26=0,$H26&gt;=W$4,$H26&lt;=W$4+6),"◆","")</f>
        <v/>
      </c>
      <c r="X26" s="19" t="str">
        <f aca="false">IF(AND($G26=0,$H26&gt;=X$4,$H26&lt;=X$4+6),"◆","")</f>
        <v/>
      </c>
      <c r="Y26" s="19" t="str">
        <f aca="false">IF(AND($G26=0,$H26&gt;=Y$4,$H26&lt;=Y$4+6),"◆","")</f>
        <v/>
      </c>
    </row>
    <row r="27" customFormat="false" ht="15" hidden="false" customHeight="false" outlineLevel="0" collapsed="false">
      <c r="A27" s="14" t="s">
        <v>99</v>
      </c>
      <c r="B27" s="14" t="n">
        <v>3</v>
      </c>
      <c r="C27" s="15" t="s">
        <v>100</v>
      </c>
      <c r="D27" s="15" t="s">
        <v>101</v>
      </c>
      <c r="E27" s="16" t="s">
        <v>11</v>
      </c>
      <c r="F27" s="16" t="n">
        <v>55</v>
      </c>
      <c r="G27" s="16" t="n">
        <v>6</v>
      </c>
      <c r="H27" s="17" t="n">
        <f aca="false">Parámetros!$B$3+F27</f>
        <v>46348</v>
      </c>
      <c r="I27" s="17" t="n">
        <f aca="false">IF(G27=0,H27,H27+G27-1)</f>
        <v>46353</v>
      </c>
      <c r="J27" s="14" t="n">
        <f aca="false">INT((H27-Parámetros!$B$3)/7)+1</f>
        <v>8</v>
      </c>
      <c r="K27" s="15" t="s">
        <v>102</v>
      </c>
      <c r="L27" s="18" t="n">
        <v>0</v>
      </c>
      <c r="M27" s="14" t="str">
        <f aca="false">IF(L27&gt;=1,"Completada",IF($M$3&lt;H27,"Pendiente",IF($M$3&gt;I27,"Atrasada","En curso")))</f>
        <v>Pendiente</v>
      </c>
      <c r="N27" s="19" t="str">
        <f aca="false">IF(AND($G27=0,$H27&gt;=N$4,$H27&lt;=N$4+6),"◆","")</f>
        <v/>
      </c>
      <c r="O27" s="19" t="str">
        <f aca="false">IF(AND($G27=0,$H27&gt;=O$4,$H27&lt;=O$4+6),"◆","")</f>
        <v/>
      </c>
      <c r="P27" s="19" t="str">
        <f aca="false">IF(AND($G27=0,$H27&gt;=P$4,$H27&lt;=P$4+6),"◆","")</f>
        <v/>
      </c>
      <c r="Q27" s="19" t="str">
        <f aca="false">IF(AND($G27=0,$H27&gt;=Q$4,$H27&lt;=Q$4+6),"◆","")</f>
        <v/>
      </c>
      <c r="R27" s="19" t="str">
        <f aca="false">IF(AND($G27=0,$H27&gt;=R$4,$H27&lt;=R$4+6),"◆","")</f>
        <v/>
      </c>
      <c r="S27" s="19" t="str">
        <f aca="false">IF(AND($G27=0,$H27&gt;=S$4,$H27&lt;=S$4+6),"◆","")</f>
        <v/>
      </c>
      <c r="T27" s="19" t="str">
        <f aca="false">IF(AND($G27=0,$H27&gt;=T$4,$H27&lt;=T$4+6),"◆","")</f>
        <v/>
      </c>
      <c r="U27" s="19" t="str">
        <f aca="false">IF(AND($G27=0,$H27&gt;=U$4,$H27&lt;=U$4+6),"◆","")</f>
        <v/>
      </c>
      <c r="V27" s="19" t="str">
        <f aca="false">IF(AND($G27=0,$H27&gt;=V$4,$H27&lt;=V$4+6),"◆","")</f>
        <v/>
      </c>
      <c r="W27" s="19" t="str">
        <f aca="false">IF(AND($G27=0,$H27&gt;=W$4,$H27&lt;=W$4+6),"◆","")</f>
        <v/>
      </c>
      <c r="X27" s="19" t="str">
        <f aca="false">IF(AND($G27=0,$H27&gt;=X$4,$H27&lt;=X$4+6),"◆","")</f>
        <v/>
      </c>
      <c r="Y27" s="19" t="str">
        <f aca="false">IF(AND($G27=0,$H27&gt;=Y$4,$H27&lt;=Y$4+6),"◆","")</f>
        <v/>
      </c>
    </row>
    <row r="28" customFormat="false" ht="15" hidden="false" customHeight="false" outlineLevel="0" collapsed="false">
      <c r="A28" s="14" t="s">
        <v>103</v>
      </c>
      <c r="B28" s="14" t="n">
        <v>3</v>
      </c>
      <c r="C28" s="15" t="s">
        <v>104</v>
      </c>
      <c r="D28" s="15" t="s">
        <v>105</v>
      </c>
      <c r="E28" s="16" t="s">
        <v>12</v>
      </c>
      <c r="F28" s="16" t="n">
        <v>57</v>
      </c>
      <c r="G28" s="16" t="n">
        <v>7</v>
      </c>
      <c r="H28" s="17" t="n">
        <f aca="false">Parámetros!$B$3+F28</f>
        <v>46350</v>
      </c>
      <c r="I28" s="17" t="n">
        <f aca="false">IF(G28=0,H28,H28+G28-1)</f>
        <v>46356</v>
      </c>
      <c r="J28" s="14" t="n">
        <f aca="false">INT((H28-Parámetros!$B$3)/7)+1</f>
        <v>9</v>
      </c>
      <c r="K28" s="15" t="s">
        <v>99</v>
      </c>
      <c r="L28" s="18" t="n">
        <v>0</v>
      </c>
      <c r="M28" s="14" t="str">
        <f aca="false">IF(L28&gt;=1,"Completada",IF($M$3&lt;H28,"Pendiente",IF($M$3&gt;I28,"Atrasada","En curso")))</f>
        <v>Pendiente</v>
      </c>
      <c r="N28" s="19" t="str">
        <f aca="false">IF(AND($G28=0,$H28&gt;=N$4,$H28&lt;=N$4+6),"◆","")</f>
        <v/>
      </c>
      <c r="O28" s="19" t="str">
        <f aca="false">IF(AND($G28=0,$H28&gt;=O$4,$H28&lt;=O$4+6),"◆","")</f>
        <v/>
      </c>
      <c r="P28" s="19" t="str">
        <f aca="false">IF(AND($G28=0,$H28&gt;=P$4,$H28&lt;=P$4+6),"◆","")</f>
        <v/>
      </c>
      <c r="Q28" s="19" t="str">
        <f aca="false">IF(AND($G28=0,$H28&gt;=Q$4,$H28&lt;=Q$4+6),"◆","")</f>
        <v/>
      </c>
      <c r="R28" s="19" t="str">
        <f aca="false">IF(AND($G28=0,$H28&gt;=R$4,$H28&lt;=R$4+6),"◆","")</f>
        <v/>
      </c>
      <c r="S28" s="19" t="str">
        <f aca="false">IF(AND($G28=0,$H28&gt;=S$4,$H28&lt;=S$4+6),"◆","")</f>
        <v/>
      </c>
      <c r="T28" s="19" t="str">
        <f aca="false">IF(AND($G28=0,$H28&gt;=T$4,$H28&lt;=T$4+6),"◆","")</f>
        <v/>
      </c>
      <c r="U28" s="19" t="str">
        <f aca="false">IF(AND($G28=0,$H28&gt;=U$4,$H28&lt;=U$4+6),"◆","")</f>
        <v/>
      </c>
      <c r="V28" s="19" t="str">
        <f aca="false">IF(AND($G28=0,$H28&gt;=V$4,$H28&lt;=V$4+6),"◆","")</f>
        <v/>
      </c>
      <c r="W28" s="19" t="str">
        <f aca="false">IF(AND($G28=0,$H28&gt;=W$4,$H28&lt;=W$4+6),"◆","")</f>
        <v/>
      </c>
      <c r="X28" s="19" t="str">
        <f aca="false">IF(AND($G28=0,$H28&gt;=X$4,$H28&lt;=X$4+6),"◆","")</f>
        <v/>
      </c>
      <c r="Y28" s="19" t="str">
        <f aca="false">IF(AND($G28=0,$H28&gt;=Y$4,$H28&lt;=Y$4+6),"◆","")</f>
        <v/>
      </c>
    </row>
    <row r="29" customFormat="false" ht="15" hidden="false" customHeight="false" outlineLevel="0" collapsed="false">
      <c r="A29" s="14" t="s">
        <v>106</v>
      </c>
      <c r="B29" s="14" t="n">
        <v>3</v>
      </c>
      <c r="C29" s="15" t="s">
        <v>107</v>
      </c>
      <c r="D29" s="15" t="s">
        <v>108</v>
      </c>
      <c r="E29" s="16" t="s">
        <v>12</v>
      </c>
      <c r="F29" s="16" t="n">
        <v>55</v>
      </c>
      <c r="G29" s="16" t="n">
        <v>9</v>
      </c>
      <c r="H29" s="17" t="n">
        <f aca="false">Parámetros!$B$3+F29</f>
        <v>46348</v>
      </c>
      <c r="I29" s="17" t="n">
        <f aca="false">IF(G29=0,H29,H29+G29-1)</f>
        <v>46356</v>
      </c>
      <c r="J29" s="14" t="n">
        <f aca="false">INT((H29-Parámetros!$B$3)/7)+1</f>
        <v>8</v>
      </c>
      <c r="K29" s="15" t="s">
        <v>91</v>
      </c>
      <c r="L29" s="18" t="n">
        <v>0</v>
      </c>
      <c r="M29" s="14" t="str">
        <f aca="false">IF(L29&gt;=1,"Completada",IF($M$3&lt;H29,"Pendiente",IF($M$3&gt;I29,"Atrasada","En curso")))</f>
        <v>Pendiente</v>
      </c>
      <c r="N29" s="19" t="str">
        <f aca="false">IF(AND($G29=0,$H29&gt;=N$4,$H29&lt;=N$4+6),"◆","")</f>
        <v/>
      </c>
      <c r="O29" s="19" t="str">
        <f aca="false">IF(AND($G29=0,$H29&gt;=O$4,$H29&lt;=O$4+6),"◆","")</f>
        <v/>
      </c>
      <c r="P29" s="19" t="str">
        <f aca="false">IF(AND($G29=0,$H29&gt;=P$4,$H29&lt;=P$4+6),"◆","")</f>
        <v/>
      </c>
      <c r="Q29" s="19" t="str">
        <f aca="false">IF(AND($G29=0,$H29&gt;=Q$4,$H29&lt;=Q$4+6),"◆","")</f>
        <v/>
      </c>
      <c r="R29" s="19" t="str">
        <f aca="false">IF(AND($G29=0,$H29&gt;=R$4,$H29&lt;=R$4+6),"◆","")</f>
        <v/>
      </c>
      <c r="S29" s="19" t="str">
        <f aca="false">IF(AND($G29=0,$H29&gt;=S$4,$H29&lt;=S$4+6),"◆","")</f>
        <v/>
      </c>
      <c r="T29" s="19" t="str">
        <f aca="false">IF(AND($G29=0,$H29&gt;=T$4,$H29&lt;=T$4+6),"◆","")</f>
        <v/>
      </c>
      <c r="U29" s="19" t="str">
        <f aca="false">IF(AND($G29=0,$H29&gt;=U$4,$H29&lt;=U$4+6),"◆","")</f>
        <v/>
      </c>
      <c r="V29" s="19" t="str">
        <f aca="false">IF(AND($G29=0,$H29&gt;=V$4,$H29&lt;=V$4+6),"◆","")</f>
        <v/>
      </c>
      <c r="W29" s="19" t="str">
        <f aca="false">IF(AND($G29=0,$H29&gt;=W$4,$H29&lt;=W$4+6),"◆","")</f>
        <v/>
      </c>
      <c r="X29" s="19" t="str">
        <f aca="false">IF(AND($G29=0,$H29&gt;=X$4,$H29&lt;=X$4+6),"◆","")</f>
        <v/>
      </c>
      <c r="Y29" s="19" t="str">
        <f aca="false">IF(AND($G29=0,$H29&gt;=Y$4,$H29&lt;=Y$4+6),"◆","")</f>
        <v/>
      </c>
    </row>
    <row r="30" customFormat="false" ht="15" hidden="false" customHeight="false" outlineLevel="0" collapsed="false">
      <c r="A30" s="14" t="s">
        <v>109</v>
      </c>
      <c r="B30" s="14" t="n">
        <v>3</v>
      </c>
      <c r="C30" s="15" t="s">
        <v>110</v>
      </c>
      <c r="D30" s="15" t="s">
        <v>110</v>
      </c>
      <c r="E30" s="16" t="s">
        <v>11</v>
      </c>
      <c r="F30" s="16" t="n">
        <v>61</v>
      </c>
      <c r="G30" s="16" t="n">
        <v>10</v>
      </c>
      <c r="H30" s="17" t="n">
        <f aca="false">Parámetros!$B$3+F30</f>
        <v>46354</v>
      </c>
      <c r="I30" s="17" t="n">
        <f aca="false">IF(G30=0,H30,H30+G30-1)</f>
        <v>46363</v>
      </c>
      <c r="J30" s="14" t="n">
        <f aca="false">INT((H30-Parámetros!$B$3)/7)+1</f>
        <v>9</v>
      </c>
      <c r="K30" s="15" t="s">
        <v>99</v>
      </c>
      <c r="L30" s="18" t="n">
        <v>0</v>
      </c>
      <c r="M30" s="14" t="str">
        <f aca="false">IF(L30&gt;=1,"Completada",IF($M$3&lt;H30,"Pendiente",IF($M$3&gt;I30,"Atrasada","En curso")))</f>
        <v>Pendiente</v>
      </c>
      <c r="N30" s="19" t="str">
        <f aca="false">IF(AND($G30=0,$H30&gt;=N$4,$H30&lt;=N$4+6),"◆","")</f>
        <v/>
      </c>
      <c r="O30" s="19" t="str">
        <f aca="false">IF(AND($G30=0,$H30&gt;=O$4,$H30&lt;=O$4+6),"◆","")</f>
        <v/>
      </c>
      <c r="P30" s="19" t="str">
        <f aca="false">IF(AND($G30=0,$H30&gt;=P$4,$H30&lt;=P$4+6),"◆","")</f>
        <v/>
      </c>
      <c r="Q30" s="19" t="str">
        <f aca="false">IF(AND($G30=0,$H30&gt;=Q$4,$H30&lt;=Q$4+6),"◆","")</f>
        <v/>
      </c>
      <c r="R30" s="19" t="str">
        <f aca="false">IF(AND($G30=0,$H30&gt;=R$4,$H30&lt;=R$4+6),"◆","")</f>
        <v/>
      </c>
      <c r="S30" s="19" t="str">
        <f aca="false">IF(AND($G30=0,$H30&gt;=S$4,$H30&lt;=S$4+6),"◆","")</f>
        <v/>
      </c>
      <c r="T30" s="19" t="str">
        <f aca="false">IF(AND($G30=0,$H30&gt;=T$4,$H30&lt;=T$4+6),"◆","")</f>
        <v/>
      </c>
      <c r="U30" s="19" t="str">
        <f aca="false">IF(AND($G30=0,$H30&gt;=U$4,$H30&lt;=U$4+6),"◆","")</f>
        <v/>
      </c>
      <c r="V30" s="19" t="str">
        <f aca="false">IF(AND($G30=0,$H30&gt;=V$4,$H30&lt;=V$4+6),"◆","")</f>
        <v/>
      </c>
      <c r="W30" s="19" t="str">
        <f aca="false">IF(AND($G30=0,$H30&gt;=W$4,$H30&lt;=W$4+6),"◆","")</f>
        <v/>
      </c>
      <c r="X30" s="19" t="str">
        <f aca="false">IF(AND($G30=0,$H30&gt;=X$4,$H30&lt;=X$4+6),"◆","")</f>
        <v/>
      </c>
      <c r="Y30" s="19" t="str">
        <f aca="false">IF(AND($G30=0,$H30&gt;=Y$4,$H30&lt;=Y$4+6),"◆","")</f>
        <v/>
      </c>
    </row>
    <row r="31" customFormat="false" ht="15" hidden="false" customHeight="false" outlineLevel="0" collapsed="false">
      <c r="A31" s="14" t="s">
        <v>111</v>
      </c>
      <c r="B31" s="14" t="n">
        <v>3</v>
      </c>
      <c r="C31" s="15" t="s">
        <v>112</v>
      </c>
      <c r="D31" s="15" t="s">
        <v>113</v>
      </c>
      <c r="E31" s="16" t="s">
        <v>11</v>
      </c>
      <c r="F31" s="16" t="n">
        <v>68</v>
      </c>
      <c r="G31" s="16" t="n">
        <v>5</v>
      </c>
      <c r="H31" s="17" t="n">
        <f aca="false">Parámetros!$B$3+F31</f>
        <v>46361</v>
      </c>
      <c r="I31" s="17" t="n">
        <f aca="false">IF(G31=0,H31,H31+G31-1)</f>
        <v>46365</v>
      </c>
      <c r="J31" s="14" t="n">
        <f aca="false">INT((H31-Parámetros!$B$3)/7)+1</f>
        <v>10</v>
      </c>
      <c r="K31" s="15" t="s">
        <v>109</v>
      </c>
      <c r="L31" s="18" t="n">
        <v>0</v>
      </c>
      <c r="M31" s="14" t="str">
        <f aca="false">IF(L31&gt;=1,"Completada",IF($M$3&lt;H31,"Pendiente",IF($M$3&gt;I31,"Atrasada","En curso")))</f>
        <v>Pendiente</v>
      </c>
      <c r="N31" s="19" t="str">
        <f aca="false">IF(AND($G31=0,$H31&gt;=N$4,$H31&lt;=N$4+6),"◆","")</f>
        <v/>
      </c>
      <c r="O31" s="19" t="str">
        <f aca="false">IF(AND($G31=0,$H31&gt;=O$4,$H31&lt;=O$4+6),"◆","")</f>
        <v/>
      </c>
      <c r="P31" s="19" t="str">
        <f aca="false">IF(AND($G31=0,$H31&gt;=P$4,$H31&lt;=P$4+6),"◆","")</f>
        <v/>
      </c>
      <c r="Q31" s="19" t="str">
        <f aca="false">IF(AND($G31=0,$H31&gt;=Q$4,$H31&lt;=Q$4+6),"◆","")</f>
        <v/>
      </c>
      <c r="R31" s="19" t="str">
        <f aca="false">IF(AND($G31=0,$H31&gt;=R$4,$H31&lt;=R$4+6),"◆","")</f>
        <v/>
      </c>
      <c r="S31" s="19" t="str">
        <f aca="false">IF(AND($G31=0,$H31&gt;=S$4,$H31&lt;=S$4+6),"◆","")</f>
        <v/>
      </c>
      <c r="T31" s="19" t="str">
        <f aca="false">IF(AND($G31=0,$H31&gt;=T$4,$H31&lt;=T$4+6),"◆","")</f>
        <v/>
      </c>
      <c r="U31" s="19" t="str">
        <f aca="false">IF(AND($G31=0,$H31&gt;=U$4,$H31&lt;=U$4+6),"◆","")</f>
        <v/>
      </c>
      <c r="V31" s="19" t="str">
        <f aca="false">IF(AND($G31=0,$H31&gt;=V$4,$H31&lt;=V$4+6),"◆","")</f>
        <v/>
      </c>
      <c r="W31" s="19" t="str">
        <f aca="false">IF(AND($G31=0,$H31&gt;=W$4,$H31&lt;=W$4+6),"◆","")</f>
        <v/>
      </c>
      <c r="X31" s="19" t="str">
        <f aca="false">IF(AND($G31=0,$H31&gt;=X$4,$H31&lt;=X$4+6),"◆","")</f>
        <v/>
      </c>
      <c r="Y31" s="19" t="str">
        <f aca="false">IF(AND($G31=0,$H31&gt;=Y$4,$H31&lt;=Y$4+6),"◆","")</f>
        <v/>
      </c>
    </row>
    <row r="32" customFormat="false" ht="15" hidden="false" customHeight="false" outlineLevel="0" collapsed="false">
      <c r="A32" s="14" t="s">
        <v>114</v>
      </c>
      <c r="B32" s="14" t="n">
        <v>3</v>
      </c>
      <c r="C32" s="15" t="s">
        <v>115</v>
      </c>
      <c r="D32" s="15" t="s">
        <v>116</v>
      </c>
      <c r="E32" s="16" t="s">
        <v>11</v>
      </c>
      <c r="F32" s="16" t="n">
        <v>71</v>
      </c>
      <c r="G32" s="16" t="n">
        <v>4</v>
      </c>
      <c r="H32" s="17" t="n">
        <f aca="false">Parámetros!$B$3+F32</f>
        <v>46364</v>
      </c>
      <c r="I32" s="17" t="n">
        <f aca="false">IF(G32=0,H32,H32+G32-1)</f>
        <v>46367</v>
      </c>
      <c r="J32" s="14" t="n">
        <f aca="false">INT((H32-Parámetros!$B$3)/7)+1</f>
        <v>11</v>
      </c>
      <c r="K32" s="15" t="s">
        <v>117</v>
      </c>
      <c r="L32" s="18" t="n">
        <v>0</v>
      </c>
      <c r="M32" s="14" t="str">
        <f aca="false">IF(L32&gt;=1,"Completada",IF($M$3&lt;H32,"Pendiente",IF($M$3&gt;I32,"Atrasada","En curso")))</f>
        <v>Pendiente</v>
      </c>
      <c r="N32" s="19" t="str">
        <f aca="false">IF(AND($G32=0,$H32&gt;=N$4,$H32&lt;=N$4+6),"◆","")</f>
        <v/>
      </c>
      <c r="O32" s="19" t="str">
        <f aca="false">IF(AND($G32=0,$H32&gt;=O$4,$H32&lt;=O$4+6),"◆","")</f>
        <v/>
      </c>
      <c r="P32" s="19" t="str">
        <f aca="false">IF(AND($G32=0,$H32&gt;=P$4,$H32&lt;=P$4+6),"◆","")</f>
        <v/>
      </c>
      <c r="Q32" s="19" t="str">
        <f aca="false">IF(AND($G32=0,$H32&gt;=Q$4,$H32&lt;=Q$4+6),"◆","")</f>
        <v/>
      </c>
      <c r="R32" s="19" t="str">
        <f aca="false">IF(AND($G32=0,$H32&gt;=R$4,$H32&lt;=R$4+6),"◆","")</f>
        <v/>
      </c>
      <c r="S32" s="19" t="str">
        <f aca="false">IF(AND($G32=0,$H32&gt;=S$4,$H32&lt;=S$4+6),"◆","")</f>
        <v/>
      </c>
      <c r="T32" s="19" t="str">
        <f aca="false">IF(AND($G32=0,$H32&gt;=T$4,$H32&lt;=T$4+6),"◆","")</f>
        <v/>
      </c>
      <c r="U32" s="19" t="str">
        <f aca="false">IF(AND($G32=0,$H32&gt;=U$4,$H32&lt;=U$4+6),"◆","")</f>
        <v/>
      </c>
      <c r="V32" s="19" t="str">
        <f aca="false">IF(AND($G32=0,$H32&gt;=V$4,$H32&lt;=V$4+6),"◆","")</f>
        <v/>
      </c>
      <c r="W32" s="19" t="str">
        <f aca="false">IF(AND($G32=0,$H32&gt;=W$4,$H32&lt;=W$4+6),"◆","")</f>
        <v/>
      </c>
      <c r="X32" s="19" t="str">
        <f aca="false">IF(AND($G32=0,$H32&gt;=X$4,$H32&lt;=X$4+6),"◆","")</f>
        <v/>
      </c>
      <c r="Y32" s="19" t="str">
        <f aca="false">IF(AND($G32=0,$H32&gt;=Y$4,$H32&lt;=Y$4+6),"◆","")</f>
        <v/>
      </c>
    </row>
    <row r="33" customFormat="false" ht="15" hidden="false" customHeight="false" outlineLevel="0" collapsed="false">
      <c r="A33" s="20" t="s">
        <v>118</v>
      </c>
      <c r="B33" s="14" t="n">
        <v>3</v>
      </c>
      <c r="C33" s="21" t="s">
        <v>119</v>
      </c>
      <c r="D33" s="15" t="s">
        <v>63</v>
      </c>
      <c r="E33" s="16" t="s">
        <v>11</v>
      </c>
      <c r="F33" s="16" t="n">
        <v>76</v>
      </c>
      <c r="G33" s="16" t="n">
        <v>0</v>
      </c>
      <c r="H33" s="17" t="n">
        <f aca="false">Parámetros!$B$3+F33</f>
        <v>46369</v>
      </c>
      <c r="I33" s="17" t="n">
        <f aca="false">IF(G33=0,H33,H33+G33-1)</f>
        <v>46369</v>
      </c>
      <c r="J33" s="14" t="n">
        <f aca="false">INT((H33-Parámetros!$B$3)/7)+1</f>
        <v>11</v>
      </c>
      <c r="K33" s="15" t="s">
        <v>114</v>
      </c>
      <c r="L33" s="18" t="n">
        <v>0</v>
      </c>
      <c r="M33" s="14" t="str">
        <f aca="false">IF(L33&gt;=1,"Completada",IF($M$3&lt;H33,"Pendiente",IF($M$3&gt;I33,"Atrasada","En curso")))</f>
        <v>Pendiente</v>
      </c>
      <c r="N33" s="19" t="str">
        <f aca="false">IF(AND($G33=0,$H33&gt;=N$4,$H33&lt;=N$4+6),"◆","")</f>
        <v/>
      </c>
      <c r="O33" s="19" t="str">
        <f aca="false">IF(AND($G33=0,$H33&gt;=O$4,$H33&lt;=O$4+6),"◆","")</f>
        <v/>
      </c>
      <c r="P33" s="19" t="str">
        <f aca="false">IF(AND($G33=0,$H33&gt;=P$4,$H33&lt;=P$4+6),"◆","")</f>
        <v/>
      </c>
      <c r="Q33" s="19" t="str">
        <f aca="false">IF(AND($G33=0,$H33&gt;=Q$4,$H33&lt;=Q$4+6),"◆","")</f>
        <v/>
      </c>
      <c r="R33" s="19" t="str">
        <f aca="false">IF(AND($G33=0,$H33&gt;=R$4,$H33&lt;=R$4+6),"◆","")</f>
        <v/>
      </c>
      <c r="S33" s="19" t="str">
        <f aca="false">IF(AND($G33=0,$H33&gt;=S$4,$H33&lt;=S$4+6),"◆","")</f>
        <v/>
      </c>
      <c r="T33" s="19" t="str">
        <f aca="false">IF(AND($G33=0,$H33&gt;=T$4,$H33&lt;=T$4+6),"◆","")</f>
        <v/>
      </c>
      <c r="U33" s="19" t="str">
        <f aca="false">IF(AND($G33=0,$H33&gt;=U$4,$H33&lt;=U$4+6),"◆","")</f>
        <v/>
      </c>
      <c r="V33" s="19" t="str">
        <f aca="false">IF(AND($G33=0,$H33&gt;=V$4,$H33&lt;=V$4+6),"◆","")</f>
        <v/>
      </c>
      <c r="W33" s="19" t="str">
        <f aca="false">IF(AND($G33=0,$H33&gt;=W$4,$H33&lt;=W$4+6),"◆","")</f>
        <v/>
      </c>
      <c r="X33" s="19" t="str">
        <f aca="false">IF(AND($G33=0,$H33&gt;=X$4,$H33&lt;=X$4+6),"◆","")</f>
        <v>◆</v>
      </c>
      <c r="Y33" s="19" t="str">
        <f aca="false">IF(AND($G33=0,$H33&gt;=Y$4,$H33&lt;=Y$4+6),"◆","")</f>
        <v/>
      </c>
    </row>
    <row r="35" customFormat="false" ht="15" hidden="false" customHeight="false" outlineLevel="0" collapsed="false">
      <c r="C35" s="2" t="s">
        <v>120</v>
      </c>
    </row>
    <row r="36" customFormat="false" ht="15" hidden="false" customHeight="false" outlineLevel="0" collapsed="false">
      <c r="B36" s="22"/>
      <c r="C36" s="6" t="s">
        <v>121</v>
      </c>
    </row>
    <row r="37" customFormat="false" ht="15" hidden="false" customHeight="false" outlineLevel="0" collapsed="false">
      <c r="B37" s="23"/>
      <c r="C37" s="6" t="s">
        <v>122</v>
      </c>
    </row>
    <row r="38" customFormat="false" ht="15" hidden="false" customHeight="false" outlineLevel="0" collapsed="false">
      <c r="B38" s="24"/>
      <c r="C38" s="6" t="s">
        <v>123</v>
      </c>
    </row>
    <row r="39" customFormat="false" ht="15" hidden="false" customHeight="false" outlineLevel="0" collapsed="false">
      <c r="B39" s="25" t="s">
        <v>124</v>
      </c>
      <c r="C39" s="6" t="s">
        <v>125</v>
      </c>
    </row>
  </sheetData>
  <conditionalFormatting sqref="N6:Y33">
    <cfRule type="expression" priority="2" aboveAverage="0" equalAverage="0" bottom="0" percent="0" rank="0" text="" dxfId="0">
      <formula>AND($B6=1,$G6&gt;0,$H6&lt;=N$4+6,$I6&gt;=N$4)</formula>
    </cfRule>
    <cfRule type="expression" priority="3" aboveAverage="0" equalAverage="0" bottom="0" percent="0" rank="0" text="" dxfId="1">
      <formula>AND($B6=2,$G6&gt;0,$H6&lt;=N$4+6,$I6&gt;=N$4)</formula>
    </cfRule>
    <cfRule type="expression" priority="4" aboveAverage="0" equalAverage="0" bottom="0" percent="0" rank="0" text="" dxfId="2">
      <formula>AND($B6=3,$G6&gt;0,$H6&lt;=N$4+6,$I6&gt;=N$4)</formula>
    </cfRule>
    <cfRule type="expression" priority="5" aboveAverage="0" equalAverage="0" bottom="0" percent="0" rank="0" text="" dxfId="3">
      <formula>AND($M$3&gt;=N$4,$M$3&lt;=N$4+6)</formula>
    </cfRule>
  </conditionalFormatting>
  <conditionalFormatting sqref="N4:Y4">
    <cfRule type="expression" priority="6" aboveAverage="0" equalAverage="0" bottom="0" percent="0" rank="0" text="" dxfId="4">
      <formula>AND($M$3&gt;=N$4,$M$3&lt;=N$4+6)</formula>
    </cfRule>
  </conditionalFormatting>
  <conditionalFormatting sqref="M6:M33">
    <cfRule type="expression" priority="7" aboveAverage="0" equalAverage="0" bottom="0" percent="0" rank="0" text="" dxfId="5">
      <formula>$M6="Completada"</formula>
    </cfRule>
    <cfRule type="expression" priority="8" aboveAverage="0" equalAverage="0" bottom="0" percent="0" rank="0" text="" dxfId="6">
      <formula>$M6="En curso"</formula>
    </cfRule>
    <cfRule type="expression" priority="9" aboveAverage="0" equalAverage="0" bottom="0" percent="0" rank="0" text="" dxfId="7">
      <formula>$M6="Atrasada"</formula>
    </cfRule>
  </conditionalFormatting>
  <dataValidations count="3">
    <dataValidation allowBlank="true" error="Elija un nombre de la lista de la hoja Parámetros." errorStyle="stop" errorTitle="Responsable" operator="between" showDropDown="false" showErrorMessage="false" showInputMessage="false" sqref="E6:E33" type="list">
      <formula1>Parámetros!$A$10:$A$15</formula1>
      <formula2>0</formula2>
    </dataValidation>
    <dataValidation allowBlank="false" error="Use un número entero de días (0 o más)." errorStyle="stop" errorTitle="Días" operator="greaterThanOrEqual" showDropDown="false" showErrorMessage="false" showInputMessage="false" sqref="F6:G33" type="whole">
      <formula1>0</formula1>
      <formula2>0</formula2>
    </dataValidation>
    <dataValidation allowBlank="false" error="Use un porcentaje entre 0 % y 100 %." errorStyle="stop" errorTitle="% avance" operator="between" showDropDown="false" showErrorMessage="false" showInputMessage="false" sqref="L6:L33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5" min="3" style="0" width="12"/>
    <col collapsed="false" customWidth="true" hidden="false" outlineLevel="0" max="7" min="6" style="0" width="11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7" t="s">
        <v>126</v>
      </c>
    </row>
    <row r="3" customFormat="false" ht="30" hidden="false" customHeight="true" outlineLevel="0" collapsed="false">
      <c r="A3" s="12" t="s">
        <v>23</v>
      </c>
      <c r="B3" s="12" t="s">
        <v>127</v>
      </c>
      <c r="C3" s="12" t="s">
        <v>128</v>
      </c>
      <c r="D3" s="12" t="s">
        <v>129</v>
      </c>
      <c r="E3" s="12" t="s">
        <v>130</v>
      </c>
      <c r="F3" s="12" t="s">
        <v>28</v>
      </c>
      <c r="G3" s="12" t="s">
        <v>131</v>
      </c>
      <c r="H3" s="12" t="s">
        <v>132</v>
      </c>
      <c r="I3" s="12" t="s">
        <v>34</v>
      </c>
      <c r="J3" s="12" t="s">
        <v>133</v>
      </c>
      <c r="K3" s="12" t="s">
        <v>134</v>
      </c>
    </row>
    <row r="4" customFormat="false" ht="15" hidden="false" customHeight="false" outlineLevel="0" collapsed="false">
      <c r="A4" s="14" t="n">
        <v>1</v>
      </c>
      <c r="B4" s="15" t="s">
        <v>121</v>
      </c>
      <c r="C4" s="26" t="n">
        <v>0.2</v>
      </c>
      <c r="D4" s="17" t="n">
        <f aca="false">_xlfn.MINIFS(Cronograma!$H$6:$H$33,Cronograma!$B$6:$B$33,A4)</f>
        <v>46293</v>
      </c>
      <c r="E4" s="17" t="n">
        <f aca="false">_xlfn.MAXIFS(Cronograma!$I$6:$I$33,Cronograma!$B$6:$B$33,A4)</f>
        <v>46306</v>
      </c>
      <c r="F4" s="14" t="n">
        <f aca="false">E4-D4+1</f>
        <v>14</v>
      </c>
      <c r="G4" s="14" t="n">
        <f aca="false">COUNTIFS(Cronograma!$B$6:$B$33,A4,Cronograma!$G$6:$G$33,"&gt;0")</f>
        <v>8</v>
      </c>
      <c r="H4" s="27" t="n">
        <f aca="false">IFERROR(SUMPRODUCT((Cronograma!$B$6:$B$33=A4)*Cronograma!$G$6:$G$33*Cronograma!$L$6:$L$33)/SUMIFS(Cronograma!$G$6:$G$33,Cronograma!$B$6:$B$33,A4),0)</f>
        <v>0.957142857142857</v>
      </c>
      <c r="I4" s="14" t="str">
        <f aca="false">IF(H4&gt;=1,"Completada",IF(Parámetros!$B$4&lt;D4,"Pendiente",IF(Parámetros!$B$4&gt;E4,"Atrasada","En curso")))</f>
        <v>En curso</v>
      </c>
      <c r="J4" s="17" t="n">
        <f aca="false">INDEX(Cronograma!$H$6:$H$33,MATCH("H"&amp;A4,Cronograma!$A$6:$A$33,0))</f>
        <v>46306</v>
      </c>
      <c r="K4" s="14" t="n">
        <f aca="false">J4-Parámetros!$B$4</f>
        <v>2</v>
      </c>
    </row>
    <row r="5" customFormat="false" ht="15" hidden="false" customHeight="false" outlineLevel="0" collapsed="false">
      <c r="A5" s="14" t="n">
        <v>2</v>
      </c>
      <c r="B5" s="15" t="s">
        <v>122</v>
      </c>
      <c r="C5" s="26" t="n">
        <v>0.1</v>
      </c>
      <c r="D5" s="17" t="n">
        <f aca="false">_xlfn.MINIFS(Cronograma!$H$6:$H$33,Cronograma!$B$6:$B$33,A5)</f>
        <v>46307</v>
      </c>
      <c r="E5" s="17" t="n">
        <f aca="false">_xlfn.MAXIFS(Cronograma!$I$6:$I$33,Cronograma!$B$6:$B$33,A5)</f>
        <v>46334</v>
      </c>
      <c r="F5" s="14" t="n">
        <f aca="false">E5-D5+1</f>
        <v>28</v>
      </c>
      <c r="G5" s="14" t="n">
        <f aca="false">COUNTIFS(Cronograma!$B$6:$B$33,A5,Cronograma!$G$6:$G$33,"&gt;0")</f>
        <v>8</v>
      </c>
      <c r="H5" s="27" t="n">
        <f aca="false">IFERROR(SUMPRODUCT((Cronograma!$B$6:$B$33=A5)*Cronograma!$G$6:$G$33*Cronograma!$L$6:$L$33)/SUMIFS(Cronograma!$G$6:$G$33,Cronograma!$B$6:$B$33,A5),0)</f>
        <v>0</v>
      </c>
      <c r="I5" s="14" t="str">
        <f aca="false">IF(H5&gt;=1,"Completada",IF(Parámetros!$B$4&lt;D5,"Pendiente",IF(Parámetros!$B$4&gt;E5,"Atrasada","En curso")))</f>
        <v>Pendiente</v>
      </c>
      <c r="J5" s="17" t="n">
        <f aca="false">INDEX(Cronograma!$H$6:$H$33,MATCH("H"&amp;A5,Cronograma!$A$6:$A$33,0))</f>
        <v>46334</v>
      </c>
      <c r="K5" s="14" t="n">
        <f aca="false">J5-Parámetros!$B$4</f>
        <v>30</v>
      </c>
    </row>
    <row r="6" customFormat="false" ht="15" hidden="false" customHeight="false" outlineLevel="0" collapsed="false">
      <c r="A6" s="14" t="n">
        <v>3</v>
      </c>
      <c r="B6" s="15" t="s">
        <v>123</v>
      </c>
      <c r="C6" s="26" t="n">
        <v>0.7</v>
      </c>
      <c r="D6" s="17" t="n">
        <f aca="false">_xlfn.MINIFS(Cronograma!$H$6:$H$33,Cronograma!$B$6:$B$33,A6)</f>
        <v>46335</v>
      </c>
      <c r="E6" s="17" t="n">
        <f aca="false">_xlfn.MAXIFS(Cronograma!$I$6:$I$33,Cronograma!$B$6:$B$33,A6)</f>
        <v>46369</v>
      </c>
      <c r="F6" s="14" t="n">
        <f aca="false">E6-D6+1</f>
        <v>35</v>
      </c>
      <c r="G6" s="14" t="n">
        <f aca="false">COUNTIFS(Cronograma!$B$6:$B$33,A6,Cronograma!$G$6:$G$33,"&gt;0")</f>
        <v>9</v>
      </c>
      <c r="H6" s="27" t="n">
        <f aca="false">IFERROR(SUMPRODUCT((Cronograma!$B$6:$B$33=A6)*Cronograma!$G$6:$G$33*Cronograma!$L$6:$L$33)/SUMIFS(Cronograma!$G$6:$G$33,Cronograma!$B$6:$B$33,A6),0)</f>
        <v>0</v>
      </c>
      <c r="I6" s="14" t="str">
        <f aca="false">IF(H6&gt;=1,"Completada",IF(Parámetros!$B$4&lt;D6,"Pendiente",IF(Parámetros!$B$4&gt;E6,"Atrasada","En curso")))</f>
        <v>Pendiente</v>
      </c>
      <c r="J6" s="17" t="n">
        <f aca="false">INDEX(Cronograma!$H$6:$H$33,MATCH("H"&amp;A6,Cronograma!$A$6:$A$33,0))</f>
        <v>46369</v>
      </c>
      <c r="K6" s="14" t="n">
        <f aca="false">J6-Parámetros!$B$4</f>
        <v>65</v>
      </c>
    </row>
    <row r="7" customFormat="false" ht="15" hidden="false" customHeight="false" outlineLevel="0" collapsed="false">
      <c r="B7" s="21" t="s">
        <v>135</v>
      </c>
      <c r="C7" s="28" t="n">
        <f aca="false">SUM(C4:C6)</f>
        <v>1</v>
      </c>
      <c r="D7" s="29" t="n">
        <f aca="false">MIN(D4:D6)</f>
        <v>46293</v>
      </c>
      <c r="E7" s="29" t="n">
        <f aca="false">MAX(E4:E6)</f>
        <v>46369</v>
      </c>
      <c r="F7" s="20" t="n">
        <f aca="false">E7-D7+1</f>
        <v>77</v>
      </c>
      <c r="G7" s="20" t="n">
        <f aca="false">SUM(G4:G6)</f>
        <v>25</v>
      </c>
      <c r="H7" s="28" t="n">
        <f aca="false">IFERROR(SUMPRODUCT(Cronograma!$G$6:$G$33,Cronograma!$L$6:$L$33)/SUM(Cronograma!$G$6:$G$33),0)</f>
        <v>0.231034482758621</v>
      </c>
    </row>
    <row r="8" customFormat="false" ht="15" hidden="false" customHeight="false" outlineLevel="0" collapsed="false">
      <c r="B8" s="2" t="s">
        <v>136</v>
      </c>
      <c r="H8" s="30" t="n">
        <f aca="false">SUMPRODUCT(C4:C6,H4:H6)</f>
        <v>0.191428571428571</v>
      </c>
    </row>
    <row r="10" customFormat="false" ht="15" hidden="false" customHeight="false" outlineLevel="0" collapsed="false">
      <c r="B10" s="2" t="s">
        <v>137</v>
      </c>
    </row>
    <row r="11" customFormat="false" ht="15" hidden="false" customHeight="false" outlineLevel="0" collapsed="false">
      <c r="B11" s="6" t="s">
        <v>138</v>
      </c>
      <c r="C11" s="6" t="n">
        <f aca="false">COUNTIF(Cronograma!$M$6:$M$33,B11)</f>
        <v>7</v>
      </c>
    </row>
    <row r="12" customFormat="false" ht="15" hidden="false" customHeight="false" outlineLevel="0" collapsed="false">
      <c r="B12" s="6" t="s">
        <v>139</v>
      </c>
      <c r="C12" s="6" t="n">
        <f aca="false">COUNTIF(Cronograma!$M$6:$M$33,B12)</f>
        <v>1</v>
      </c>
    </row>
    <row r="13" customFormat="false" ht="15" hidden="false" customHeight="false" outlineLevel="0" collapsed="false">
      <c r="B13" s="6" t="s">
        <v>140</v>
      </c>
      <c r="C13" s="6" t="n">
        <f aca="false">COUNTIF(Cronograma!$M$6:$M$33,B13)</f>
        <v>20</v>
      </c>
    </row>
    <row r="14" customFormat="false" ht="15" hidden="false" customHeight="false" outlineLevel="0" collapsed="false">
      <c r="B14" s="6" t="s">
        <v>141</v>
      </c>
      <c r="C14" s="6" t="n">
        <f aca="false">COUNTIF(Cronograma!$M$6:$M$33,B14)</f>
        <v>0</v>
      </c>
    </row>
    <row r="16" customFormat="false" ht="15" hidden="false" customHeight="false" outlineLevel="0" collapsed="false">
      <c r="B16" s="6" t="s">
        <v>142</v>
      </c>
      <c r="C16" s="2" t="n">
        <f aca="false">SUM(C11:C14)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2026-10-10T03:23:44Z</dcterms:created>
  <dc:creator>openpyxl</dc:creator>
  <dc:description/>
  <dc:language>en-US</dc:language>
  <cp:lastModifiedBy/>
  <dcterms:modified xsi:type="dcterms:W3CDTF">2026-10-10T03:23:44Z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